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WindowsUser\Desktop\"/>
    </mc:Choice>
  </mc:AlternateContent>
  <xr:revisionPtr revIDLastSave="0" documentId="13_ncr:1_{024515F6-1C8C-473B-A544-E2DA5FEB39D1}" xr6:coauthVersionLast="47" xr6:coauthVersionMax="47" xr10:uidLastSave="{00000000-0000-0000-0000-000000000000}"/>
  <bookViews>
    <workbookView xWindow="-120" yWindow="-120" windowWidth="19440" windowHeight="10440" firstSheet="1" activeTab="1" xr2:uid="{062D101A-6F52-4E2C-BBDD-ACF323BE6866}"/>
  </bookViews>
  <sheets>
    <sheet name="Курс" sheetId="3" r:id="rId1"/>
    <sheet name="Задание 1" sheetId="2" r:id="rId2"/>
    <sheet name="Задание 2" sheetId="5" r:id="rId3"/>
    <sheet name="Задание 3" sheetId="4" r:id="rId4"/>
    <sheet name="Задание 4" sheetId="7" r:id="rId5"/>
    <sheet name="Задание 5" sheetId="9" r:id="rId6"/>
    <sheet name="Задание 6" sheetId="11" r:id="rId7"/>
    <sheet name="Задание 7" sheetId="6" r:id="rId8"/>
    <sheet name="Задание 8" sheetId="8" r:id="rId9"/>
    <sheet name="Задание 9" sheetId="10" r:id="rId10"/>
    <sheet name="Задание 10" sheetId="12" r:id="rId11"/>
    <sheet name="Задание 11" sheetId="13" r:id="rId12"/>
    <sheet name="Задание 12" sheetId="14" r:id="rId13"/>
  </sheets>
  <externalReferences>
    <externalReference r:id="rId14"/>
    <externalReference r:id="rId15"/>
  </externalReferences>
  <definedNames>
    <definedName name="__IntlFixup" hidden="1">TRUE</definedName>
    <definedName name="_xlnm._FilterDatabase" localSheetId="12" hidden="1">'Задание 12'!$A$2:$D$62</definedName>
    <definedName name="AccessDatabase" hidden="1">"C:\My Documents\MAUI MALL1.mdb"</definedName>
    <definedName name="ACwvu.CapersView." localSheetId="12" hidden="1">[1]MASTER!#REF!</definedName>
    <definedName name="ACwvu.CapersView." hidden="1">[1]MASTER!#REF!</definedName>
    <definedName name="ACwvu.Japan_Capers_Ed_Pub." hidden="1">'[2]THREE VARIABLES'!$N$1:$V$165</definedName>
    <definedName name="ACwvu.KJP_CC." hidden="1">'[2]THREE VARIABLES'!$N$4:$U$165</definedName>
    <definedName name="Cwvu.CapersView." localSheetId="12" hidden="1">[1]MASTER!#REF!</definedName>
    <definedName name="Cwvu.CapersView." hidden="1">[1]MASTER!#REF!</definedName>
    <definedName name="Cwvu.Japan_Capers_Ed_Pub." localSheetId="12" hidden="1">[1]MASTER!#REF!</definedName>
    <definedName name="Cwvu.Japan_Capers_Ed_Pub." hidden="1">[1]MASTER!#REF!</definedName>
    <definedName name="Cwvu.KJP_CC." localSheetId="12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HTML_CodePage" hidden="1">1252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Rwvu.CapersView." hidden="1">'[2]THREE VARIABLES'!$A$1:$M$65536</definedName>
    <definedName name="Rwvu.Japan_Capers_Ed_Pub." hidden="1">'[2]THREE VARIABLES'!$A$1:$M$65536</definedName>
    <definedName name="Rwvu.KJP_CC." hidden="1">'[2]THREE VARIABLES'!$A$1:$M$65536</definedName>
    <definedName name="Swvu.CapersView." localSheetId="12" hidden="1">[1]MASTER!#REF!</definedName>
    <definedName name="Swvu.CapersView." hidden="1">[1]MASTER!#REF!</definedName>
    <definedName name="Swvu.Japan_Capers_Ed_Pub." hidden="1">'[2]THREE VARIABLES'!$N$1:$V$165</definedName>
    <definedName name="Swvu.KJP_CC." hidden="1">'[2]THREE VARIABLES'!$N$4:$U$165</definedName>
    <definedName name="wrn.CapersPlotter." hidden="1">{#N/A,#N/A,FALSE,"DI 2 YEAR MASTER SCHEDULE"}</definedName>
    <definedName name="wrn.Edutainment._.Priority._.List." hidden="1">{#N/A,#N/A,FALSE,"DI 2 YEAR MASTER SCHEDULE"}</definedName>
    <definedName name="wrn.Japan_Capers_Ed._.Pub." hidden="1">{"Japan_Capers_Ed_Pub",#N/A,FALSE,"DI 2 YEAR MASTER SCHEDULE"}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QUARTERLY._.VIEW." hidden="1">{"QUARTERLY VIEW",#N/A,FALSE,"YEAR TOTAL"}</definedName>
    <definedName name="wrn.YEAR._.VIEW." hidden="1">{#N/A,#N/A,FALSE,"YEAR TOTAL"}</definedName>
    <definedName name="wrn.отчет._.по._.курсу." localSheetId="12" hidden="1">{"программа",#N/A,TRUE,"lessons";"продажа оргтехники",#N/A,TRUE,"образец"}</definedName>
    <definedName name="wrn.отчет._.по._.курсу." localSheetId="0" hidden="1">{"программа",#N/A,TRUE,"lessons";"продажа оргтехники",#N/A,TRUE,"образец"}</definedName>
    <definedName name="wrn.отчет._.по._.курсу." hidden="1">{"программа",#N/A,TRUE,"lessons";"продажа оргтехники",#N/A,TRUE,"образец"}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Z_9A428CE1_B4D9_11D0_A8AA_0000C071AEE7_.wvu.Cols" hidden="1">[1]MASTER!$A$1:$Q$65536,[1]MASTER!$Y$1:$Z$65536</definedName>
    <definedName name="Z_9A428CE1_B4D9_11D0_A8AA_0000C071AEE7_.wvu.PrintArea" hidden="1">'[2]THREE VARIABLES'!$N$4:$S$5</definedName>
    <definedName name="Z_9A428CE1_B4D9_11D0_A8AA_0000C071AEE7_.wvu.Rows" localSheetId="12" hidden="1">[1]MASTER!#REF!,[1]MASTER!#REF!,[1]MASTER!#REF!,[1]MASTER!#REF!,[1]MASTER!#REF!,[1]MASTER!#REF!,[1]MASTER!#REF!,[1]MASTER!$A$98:$IV$272</definedName>
    <definedName name="Z_9A428CE1_B4D9_11D0_A8AA_0000C071AEE7_.wvu.Rows" hidden="1">[1]MASTER!#REF!,[1]MASTER!#REF!,[1]MASTER!#REF!,[1]MASTER!#REF!,[1]MASTER!#REF!,[1]MASTER!#REF!,[1]MASTER!#REF!,[1]MASTER!$A$98:$IV$272</definedName>
    <definedName name="а" hidden="1">'[2]THREE VARIABLES'!$N$1:$V$165</definedName>
    <definedName name="з" localSheetId="12" hidden="1">{"программа",#N/A,TRUE,"lessons";"продажа оргтехники",#N/A,TRUE,"образец"}</definedName>
    <definedName name="з" localSheetId="0" hidden="1">{"программа",#N/A,TRUE,"lessons";"продажа оргтехники",#N/A,TRUE,"образец"}</definedName>
    <definedName name="з" hidden="1">{"программа",#N/A,TRUE,"lessons";"продажа оргтехники",#N/A,TRUE,"образец"}</definedName>
    <definedName name="ке" localSheetId="12" hidden="1">{"программа",#N/A,TRUE,"lessons";"продажа оргтехники",#N/A,TRUE,"образец"}</definedName>
    <definedName name="ке" localSheetId="0" hidden="1">{"программа",#N/A,TRUE,"lessons";"продажа оргтехники",#N/A,TRUE,"образец"}</definedName>
    <definedName name="ке" hidden="1">{"программа",#N/A,TRUE,"lessons";"продажа оргтехники",#N/A,TRUE,"образец"}</definedName>
    <definedName name="ффф" hidden="1">{"программа",#N/A,TRUE,"lessons";"продажа оргтехники",#N/A,TRUE,"образец"}</definedName>
    <definedName name="х" hidden="1">{"программа",#N/A,TRUE,"lessons";"продажа оргтехники",#N/A,TRUE,"образец"}</definedName>
    <definedName name="ы" hidden="1">{#N/A,#N/A,FALSE,"PRJCTED QTRLY QTY's"}</definedName>
    <definedName name="ыы" hidden="1">{#N/A,#N/A,FALSE,"YEAR TOTAL"}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14" l="1"/>
  <c r="L4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3" i="14"/>
  <c r="B3" i="13"/>
  <c r="B4" i="13"/>
  <c r="B5" i="13"/>
  <c r="B6" i="13"/>
  <c r="B7" i="13"/>
  <c r="B8" i="13"/>
  <c r="B9" i="13"/>
  <c r="B10" i="13"/>
  <c r="B11" i="13"/>
  <c r="B12" i="13"/>
  <c r="B13" i="13"/>
  <c r="B14" i="13"/>
  <c r="D2" i="10"/>
  <c r="F15" i="8"/>
  <c r="E6" i="8" s="1"/>
  <c r="E9" i="8"/>
  <c r="E5" i="8"/>
  <c r="F16" i="8"/>
  <c r="F17" i="8"/>
  <c r="F18" i="8"/>
  <c r="F19" i="8"/>
  <c r="F20" i="8"/>
  <c r="F21" i="8"/>
  <c r="F22" i="8"/>
  <c r="G6" i="5"/>
  <c r="G7" i="5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E12" i="6" a="1"/>
  <c r="E12" i="6" s="1"/>
  <c r="D2" i="1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" i="9"/>
  <c r="D21" i="7"/>
  <c r="D10" i="7"/>
  <c r="D11" i="7"/>
  <c r="D12" i="7"/>
  <c r="D13" i="7"/>
  <c r="D14" i="7"/>
  <c r="D15" i="7"/>
  <c r="D16" i="7"/>
  <c r="D17" i="7"/>
  <c r="D18" i="7"/>
  <c r="D19" i="7"/>
  <c r="D20" i="7"/>
  <c r="D9" i="7"/>
  <c r="B3" i="4" a="1"/>
  <c r="B3" i="4" s="1"/>
  <c r="A3" i="4" a="1"/>
  <c r="A3" i="4" s="1"/>
  <c r="D33" i="5"/>
  <c r="D32" i="5"/>
  <c r="C32" i="5"/>
  <c r="B32" i="5"/>
  <c r="B31" i="5"/>
  <c r="C31" i="5"/>
  <c r="D31" i="5"/>
  <c r="F3" i="2"/>
  <c r="F4" i="2"/>
  <c r="F5" i="2"/>
  <c r="F6" i="2"/>
  <c r="F7" i="2"/>
  <c r="F8" i="2"/>
  <c r="F9" i="2"/>
  <c r="F10" i="2"/>
  <c r="F11" i="2"/>
  <c r="F12" i="2"/>
  <c r="F13" i="2"/>
  <c r="F14" i="2"/>
  <c r="F15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2" i="2"/>
  <c r="B52" i="11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G2" i="3"/>
  <c r="E8" i="8" l="1"/>
  <c r="E7" i="8"/>
  <c r="G9" i="5"/>
  <c r="G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<sst xmlns="http://schemas.openxmlformats.org/spreadsheetml/2006/main" count="780" uniqueCount="319">
  <si>
    <t>ID</t>
  </si>
  <si>
    <t>Наименование</t>
  </si>
  <si>
    <t>Торговая марка</t>
  </si>
  <si>
    <t>Цена, €</t>
  </si>
  <si>
    <t>Цена,  руб.</t>
  </si>
  <si>
    <t>Цена,  $</t>
  </si>
  <si>
    <t>SS001</t>
  </si>
  <si>
    <t>Кроссовки</t>
  </si>
  <si>
    <t>Adidas</t>
  </si>
  <si>
    <t>SS002</t>
  </si>
  <si>
    <t>Puma</t>
  </si>
  <si>
    <t>SS003</t>
  </si>
  <si>
    <t>Skechers</t>
  </si>
  <si>
    <t>SS004</t>
  </si>
  <si>
    <t>Brooks</t>
  </si>
  <si>
    <t>SS005</t>
  </si>
  <si>
    <t>Майка</t>
  </si>
  <si>
    <t>Nike</t>
  </si>
  <si>
    <t>SS006</t>
  </si>
  <si>
    <t>SS007</t>
  </si>
  <si>
    <t>SS008</t>
  </si>
  <si>
    <t>Reebok</t>
  </si>
  <si>
    <t>SS009</t>
  </si>
  <si>
    <t>Спортивный костюм</t>
  </si>
  <si>
    <t>SS010</t>
  </si>
  <si>
    <t>Asics</t>
  </si>
  <si>
    <t>SS011</t>
  </si>
  <si>
    <t>Мяч волейбольный</t>
  </si>
  <si>
    <t>Gala</t>
  </si>
  <si>
    <t>SS012</t>
  </si>
  <si>
    <t>Велотренажер магнитный</t>
  </si>
  <si>
    <t>Kettler-Paso</t>
  </si>
  <si>
    <t>SS013</t>
  </si>
  <si>
    <t>Атлетическая скамья</t>
  </si>
  <si>
    <t>Torneo-Forza</t>
  </si>
  <si>
    <t>SS014</t>
  </si>
  <si>
    <t>Электрическая беговая дорожка</t>
  </si>
  <si>
    <t>Reebok-ЕК2</t>
  </si>
  <si>
    <t>курс ДОЛЛАРА</t>
  </si>
  <si>
    <t>курс ЕВРО</t>
  </si>
  <si>
    <t>курс ФУНТА</t>
  </si>
  <si>
    <t>курс ЙЕНЫ</t>
  </si>
  <si>
    <t>курс ТЕНГЕ</t>
  </si>
  <si>
    <t>СЕГОДНЯ:</t>
  </si>
  <si>
    <t>X</t>
  </si>
  <si>
    <t>Y</t>
  </si>
  <si>
    <t xml:space="preserve">Средний результат </t>
  </si>
  <si>
    <t>Аутсайдер</t>
  </si>
  <si>
    <t>Чемпион</t>
  </si>
  <si>
    <t>Очки</t>
  </si>
  <si>
    <t>Страна</t>
  </si>
  <si>
    <t>Участник</t>
  </si>
  <si>
    <t>Итоговая таблица</t>
  </si>
  <si>
    <t>Казахстан</t>
  </si>
  <si>
    <t>Атангулов</t>
  </si>
  <si>
    <t>Беларусь</t>
  </si>
  <si>
    <t>Борисевич</t>
  </si>
  <si>
    <t>Россия</t>
  </si>
  <si>
    <t>Волков</t>
  </si>
  <si>
    <t>Мазаев</t>
  </si>
  <si>
    <t>Мирзоев</t>
  </si>
  <si>
    <t>Украина</t>
  </si>
  <si>
    <t>Хромченко</t>
  </si>
  <si>
    <t>Галушко</t>
  </si>
  <si>
    <t>Похомов</t>
  </si>
  <si>
    <t>Дьяченко</t>
  </si>
  <si>
    <t>Карасев</t>
  </si>
  <si>
    <t>Егоркин</t>
  </si>
  <si>
    <t>Воробьев</t>
  </si>
  <si>
    <t>Моисеенко</t>
  </si>
  <si>
    <t>Лукин</t>
  </si>
  <si>
    <t>Валиулин</t>
  </si>
  <si>
    <t>Зинутдинов</t>
  </si>
  <si>
    <t>Петровчук</t>
  </si>
  <si>
    <t>Борисов</t>
  </si>
  <si>
    <t>Пуценко</t>
  </si>
  <si>
    <t>Валенич</t>
  </si>
  <si>
    <t>Алексеев</t>
  </si>
  <si>
    <t>Купцевич</t>
  </si>
  <si>
    <t>Жумангулов</t>
  </si>
  <si>
    <t>Командные результаты</t>
  </si>
  <si>
    <t>Иванцов</t>
  </si>
  <si>
    <t>Номер</t>
  </si>
  <si>
    <t>ИТОГО , руб.:</t>
  </si>
  <si>
    <t xml:space="preserve">Штрих </t>
  </si>
  <si>
    <t>Точилка механическая</t>
  </si>
  <si>
    <t xml:space="preserve">Блокнот 20х17 </t>
  </si>
  <si>
    <t xml:space="preserve">Блокнот 10х15 </t>
  </si>
  <si>
    <t>Скотч широкий 30 мм</t>
  </si>
  <si>
    <t>Скотч узкий 10мм</t>
  </si>
  <si>
    <t>Число отдельно проданных, шт.</t>
  </si>
  <si>
    <t>Число проданных коробок, шт.</t>
  </si>
  <si>
    <t>Число шт в коробке</t>
  </si>
  <si>
    <t>Цена за штуку, руб.</t>
  </si>
  <si>
    <t>Название</t>
  </si>
  <si>
    <t>Текущие координаты местонахождения самолета</t>
  </si>
  <si>
    <t>Xс, км</t>
  </si>
  <si>
    <t>Yс, км</t>
  </si>
  <si>
    <t>Таблица координат ближайших аэропортов</t>
  </si>
  <si>
    <t>№ аэропорта</t>
  </si>
  <si>
    <t>X, км</t>
  </si>
  <si>
    <t>Y, км</t>
  </si>
  <si>
    <t>Расстояние до самолета, км</t>
  </si>
  <si>
    <t>МИНИМ</t>
  </si>
  <si>
    <t>Справочник товаров компании</t>
  </si>
  <si>
    <t>Артикул</t>
  </si>
  <si>
    <t>Цена</t>
  </si>
  <si>
    <t>Группа</t>
  </si>
  <si>
    <t>Имеется справочник товаров компании и общая таблица сделок за 1900 год.</t>
  </si>
  <si>
    <t>Табак листовой</t>
  </si>
  <si>
    <t>Табак</t>
  </si>
  <si>
    <t>Но в общей таблице не заполнено поле Группа для товаров.</t>
  </si>
  <si>
    <t>Табак резаный</t>
  </si>
  <si>
    <t>Заполните это поле, расставив напротив каждого проданного товара соответствующую ему группу из справочника.</t>
  </si>
  <si>
    <t>Сигары "Шик"</t>
  </si>
  <si>
    <t>Сигары</t>
  </si>
  <si>
    <t>Подведите промежуточные итоги по полю Сумма для каждой группы товаров.</t>
  </si>
  <si>
    <t>Папиросы "Ира"</t>
  </si>
  <si>
    <t>Папиросы</t>
  </si>
  <si>
    <t>Папиросы "Пушка"</t>
  </si>
  <si>
    <t>Таблица продаж товаров компании за 1900 год.</t>
  </si>
  <si>
    <t>Дата сделки</t>
  </si>
  <si>
    <t>Код клиента</t>
  </si>
  <si>
    <t>Фамилия клиента</t>
  </si>
  <si>
    <t>Наименование товара</t>
  </si>
  <si>
    <t>Количество</t>
  </si>
  <si>
    <t>Сумма</t>
  </si>
  <si>
    <t>Код менеджера</t>
  </si>
  <si>
    <t>Имя менеджера</t>
  </si>
  <si>
    <t>Шариков</t>
  </si>
  <si>
    <t>Быков Григорий</t>
  </si>
  <si>
    <t>Преображенский</t>
  </si>
  <si>
    <t>Ревягин Тимофей</t>
  </si>
  <si>
    <t>Загорецкий</t>
  </si>
  <si>
    <t>Петрова Наталья</t>
  </si>
  <si>
    <t>Чичиков</t>
  </si>
  <si>
    <t>Ларина</t>
  </si>
  <si>
    <t>Антонов Иоан</t>
  </si>
  <si>
    <t>Бендер</t>
  </si>
  <si>
    <t>Локшин Степан</t>
  </si>
  <si>
    <t xml:space="preserve">Воробьянинов </t>
  </si>
  <si>
    <t>Смирнова Агафья</t>
  </si>
  <si>
    <t xml:space="preserve">Фамусова </t>
  </si>
  <si>
    <t>Бульба</t>
  </si>
  <si>
    <t>Башмачкин</t>
  </si>
  <si>
    <t>Марина</t>
  </si>
  <si>
    <t>Белоушка</t>
  </si>
  <si>
    <t>Сергей</t>
  </si>
  <si>
    <t>Шаров</t>
  </si>
  <si>
    <t>Надежда</t>
  </si>
  <si>
    <t>Федорова</t>
  </si>
  <si>
    <t>Александр</t>
  </si>
  <si>
    <t>Рублев</t>
  </si>
  <si>
    <t>Янис</t>
  </si>
  <si>
    <t>Репяков</t>
  </si>
  <si>
    <t>Подольский</t>
  </si>
  <si>
    <t>Петр</t>
  </si>
  <si>
    <t>Николай</t>
  </si>
  <si>
    <t>Евгений</t>
  </si>
  <si>
    <t>Оснач</t>
  </si>
  <si>
    <t>Наталия</t>
  </si>
  <si>
    <t>Морозова</t>
  </si>
  <si>
    <t>Костюков</t>
  </si>
  <si>
    <t>Светлана</t>
  </si>
  <si>
    <t>Киселева</t>
  </si>
  <si>
    <t>Максим</t>
  </si>
  <si>
    <t>Иванов</t>
  </si>
  <si>
    <t>Дмитрий</t>
  </si>
  <si>
    <t>Дунаев</t>
  </si>
  <si>
    <t>Татьяна</t>
  </si>
  <si>
    <t>Глухова</t>
  </si>
  <si>
    <t>Ольга</t>
  </si>
  <si>
    <t>Величко</t>
  </si>
  <si>
    <t>Павленко</t>
  </si>
  <si>
    <t>Олеся</t>
  </si>
  <si>
    <t>Филиппова</t>
  </si>
  <si>
    <t>Елена</t>
  </si>
  <si>
    <t>Соколова</t>
  </si>
  <si>
    <t>Ирина</t>
  </si>
  <si>
    <t>Смирнова</t>
  </si>
  <si>
    <t>Виктория</t>
  </si>
  <si>
    <t>Сечкина</t>
  </si>
  <si>
    <t>Саша</t>
  </si>
  <si>
    <t>Павлова</t>
  </si>
  <si>
    <t>Артур</t>
  </si>
  <si>
    <t>Минасян</t>
  </si>
  <si>
    <t>Машика</t>
  </si>
  <si>
    <t>Лина</t>
  </si>
  <si>
    <t>Кулакова</t>
  </si>
  <si>
    <t>Климова</t>
  </si>
  <si>
    <t>Анастасия</t>
  </si>
  <si>
    <t>Карпенко</t>
  </si>
  <si>
    <t>Дмитриева</t>
  </si>
  <si>
    <t>Мария</t>
  </si>
  <si>
    <t>Данилова</t>
  </si>
  <si>
    <t>Андрей</t>
  </si>
  <si>
    <t>Гуреев</t>
  </si>
  <si>
    <t>Гаврилова</t>
  </si>
  <si>
    <t>Вальвач Вика</t>
  </si>
  <si>
    <t>Вика</t>
  </si>
  <si>
    <t>Вальвач</t>
  </si>
  <si>
    <t>Данные</t>
  </si>
  <si>
    <t>В столбце А имеются данные. Cреди них</t>
  </si>
  <si>
    <t xml:space="preserve">имеются разные значения. Отобрать минимальное </t>
  </si>
  <si>
    <t>положительное значение и вставить его</t>
  </si>
  <si>
    <t>22.02.01</t>
  </si>
  <si>
    <t>20.02.01</t>
  </si>
  <si>
    <t>Дата</t>
  </si>
  <si>
    <t>№</t>
  </si>
  <si>
    <t>Мероприятия</t>
  </si>
  <si>
    <t>Начало, день</t>
  </si>
  <si>
    <t>Длительность, дней</t>
  </si>
  <si>
    <t>Мероприятие 1</t>
  </si>
  <si>
    <t>Мероприятие 2</t>
  </si>
  <si>
    <t>Мероприятие 3</t>
  </si>
  <si>
    <t>Мероприятие 4</t>
  </si>
  <si>
    <t>Мероприятие 5</t>
  </si>
  <si>
    <t>Мероприятие 6</t>
  </si>
  <si>
    <t>Время года</t>
  </si>
  <si>
    <t>ТОВАРЫ 2011</t>
  </si>
  <si>
    <t>ТОВАРЫ 2012</t>
  </si>
  <si>
    <t>Масса, г</t>
  </si>
  <si>
    <t>Статус</t>
  </si>
  <si>
    <t>свеча Апельсин</t>
  </si>
  <si>
    <t>Завершен выпуск  в 2011</t>
  </si>
  <si>
    <t>свеча Бабочка</t>
  </si>
  <si>
    <t>Новые товары 2012</t>
  </si>
  <si>
    <t>свеча Банан</t>
  </si>
  <si>
    <t>свеча Бегемотик</t>
  </si>
  <si>
    <t>свеча Буратино</t>
  </si>
  <si>
    <t>свеча Вертолет</t>
  </si>
  <si>
    <t>свеча Буренка</t>
  </si>
  <si>
    <t>свеча Винни-Пух</t>
  </si>
  <si>
    <t>свеча Вишенка</t>
  </si>
  <si>
    <t>свеча Волк</t>
  </si>
  <si>
    <t>свеча Волшебник</t>
  </si>
  <si>
    <t>свеча Горнолыжник</t>
  </si>
  <si>
    <t>свеча Гранат</t>
  </si>
  <si>
    <t>свеча Вратарь</t>
  </si>
  <si>
    <t>свеча Груша</t>
  </si>
  <si>
    <t>свеча Девочка</t>
  </si>
  <si>
    <t>свеча Гусь</t>
  </si>
  <si>
    <t>свеча Дед мороз</t>
  </si>
  <si>
    <t>свеча Дельфин</t>
  </si>
  <si>
    <t>свеча Дюймовочка</t>
  </si>
  <si>
    <t>свеча Елочка</t>
  </si>
  <si>
    <t>свеча Жираф</t>
  </si>
  <si>
    <t>свеча Звездочет</t>
  </si>
  <si>
    <t>свеча Звездочка</t>
  </si>
  <si>
    <t>свеча Кабриолет</t>
  </si>
  <si>
    <t>свеча Карапуз</t>
  </si>
  <si>
    <t>свеча Кленовый лист</t>
  </si>
  <si>
    <t>свеча Клубничка</t>
  </si>
  <si>
    <t>свеча Космический корабль</t>
  </si>
  <si>
    <t>свеча Конус</t>
  </si>
  <si>
    <t>свеча Кот в сапогах</t>
  </si>
  <si>
    <t>свеча Космический воин</t>
  </si>
  <si>
    <t>свеча Красная шапочка</t>
  </si>
  <si>
    <t>свеча Крокодил Гена</t>
  </si>
  <si>
    <t>свеча Легенда</t>
  </si>
  <si>
    <t>свеча Лимончики</t>
  </si>
  <si>
    <t>свеча Лисенок</t>
  </si>
  <si>
    <t>свеча Лисичка</t>
  </si>
  <si>
    <t>свеча Лыжник</t>
  </si>
  <si>
    <t>свеча Маг</t>
  </si>
  <si>
    <t>свеча Лягушонок</t>
  </si>
  <si>
    <t>свеча Малинка</t>
  </si>
  <si>
    <t>свеча Мальчик с пальчик</t>
  </si>
  <si>
    <t>свеча Матрешка</t>
  </si>
  <si>
    <t>свеча Мальчик</t>
  </si>
  <si>
    <t>свеча Медвежонок</t>
  </si>
  <si>
    <t>свеча Муравей</t>
  </si>
  <si>
    <t>свеча Маугли</t>
  </si>
  <si>
    <t>свеча Мышонок</t>
  </si>
  <si>
    <t>свеча Овечка</t>
  </si>
  <si>
    <t>свеча Микки Маус</t>
  </si>
  <si>
    <t>свеча Парашютист</t>
  </si>
  <si>
    <t>свеча Молодожены</t>
  </si>
  <si>
    <t>свеча Паровозик</t>
  </si>
  <si>
    <t>свеча Парусник</t>
  </si>
  <si>
    <t>свеча Персик</t>
  </si>
  <si>
    <t>свеча Обезьянка</t>
  </si>
  <si>
    <t>свеча Пирамидка</t>
  </si>
  <si>
    <t>свеча Пчелка</t>
  </si>
  <si>
    <t>свеча Пальма</t>
  </si>
  <si>
    <t>свеча Ракушки</t>
  </si>
  <si>
    <t>свеча Ромашки</t>
  </si>
  <si>
    <t>свеча Самовар</t>
  </si>
  <si>
    <t>свеча Самолет</t>
  </si>
  <si>
    <t>свеча Сердце</t>
  </si>
  <si>
    <t>свеча Слива</t>
  </si>
  <si>
    <t>свеча Слоненок</t>
  </si>
  <si>
    <t>свеча Розочка</t>
  </si>
  <si>
    <t>свеча Смородинка</t>
  </si>
  <si>
    <t>свеча Снеговик</t>
  </si>
  <si>
    <t>свеча Снегурочка</t>
  </si>
  <si>
    <t>свеча Совенок</t>
  </si>
  <si>
    <t>свеча Солнышко</t>
  </si>
  <si>
    <t>свеча Фея</t>
  </si>
  <si>
    <t>свеча Черепашка</t>
  </si>
  <si>
    <t>свеча Шапокляк</t>
  </si>
  <si>
    <t>свеча Солдатик</t>
  </si>
  <si>
    <t>свеча Утенок</t>
  </si>
  <si>
    <t>свеча Чебурашка</t>
  </si>
  <si>
    <t>свеча Яблочко</t>
  </si>
  <si>
    <t>Диаграмма Ганта</t>
  </si>
  <si>
    <t>Международные соревнования  по стендовой стрельбе 2019 года</t>
  </si>
  <si>
    <t>Фамилия</t>
  </si>
  <si>
    <t>Имя</t>
  </si>
  <si>
    <t xml:space="preserve">Фамилия+Имя </t>
  </si>
  <si>
    <t>Таблица продаж канцтоваров ООО "Авторучка" за апрель 2019 года</t>
  </si>
  <si>
    <t xml:space="preserve">в ячейку D2. </t>
  </si>
  <si>
    <t>Месяц</t>
  </si>
  <si>
    <t>Справочник ВПР</t>
  </si>
  <si>
    <t>Сезон</t>
  </si>
  <si>
    <t>Зима</t>
  </si>
  <si>
    <t>Весна</t>
  </si>
  <si>
    <t>Лето</t>
  </si>
  <si>
    <t>Осень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</si>
</sst>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р.&quot;_-;\-* #,##0.00&quot;р.&quot;_-;_-* &quot;-&quot;??&quot;р.&quot;_-;_-@_-"/>
    <numFmt numFmtId="165" formatCode="dd/mmm/yyyy"/>
    <numFmt numFmtId="166" formatCode="d/m/yy"/>
  </numFmts>
  <fonts count="2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color theme="0"/>
      <name val="Arial Cyr"/>
      <charset val="204"/>
    </font>
    <font>
      <sz val="11"/>
      <name val="Arial"/>
      <family val="2"/>
      <charset val="204"/>
    </font>
    <font>
      <sz val="10"/>
      <color theme="1"/>
      <name val="Arial Cyr"/>
      <charset val="204"/>
    </font>
    <font>
      <b/>
      <sz val="11"/>
      <name val="Arial"/>
      <family val="2"/>
      <charset val="204"/>
    </font>
    <font>
      <b/>
      <sz val="11"/>
      <color indexed="9"/>
      <name val="Arial"/>
      <family val="2"/>
      <charset val="204"/>
    </font>
    <font>
      <b/>
      <sz val="11"/>
      <color indexed="10"/>
      <name val="Arial"/>
      <family val="2"/>
      <charset val="204"/>
    </font>
    <font>
      <b/>
      <i/>
      <sz val="10"/>
      <name val="Arial Cyr"/>
      <charset val="204"/>
    </font>
    <font>
      <b/>
      <sz val="10"/>
      <name val="Arial Cyr"/>
      <family val="2"/>
      <charset val="204"/>
    </font>
    <font>
      <b/>
      <sz val="10"/>
      <name val="Arial Cyr"/>
      <charset val="204"/>
    </font>
    <font>
      <sz val="10"/>
      <name val="SchoolDL"/>
      <charset val="204"/>
    </font>
    <font>
      <sz val="10"/>
      <name val="Arial Cyr"/>
      <family val="2"/>
      <charset val="204"/>
    </font>
    <font>
      <b/>
      <i/>
      <sz val="10"/>
      <name val="Arial Cyr"/>
      <family val="2"/>
      <charset val="204"/>
    </font>
    <font>
      <i/>
      <sz val="10"/>
      <name val="Arial Cyr"/>
      <charset val="204"/>
    </font>
    <font>
      <sz val="10"/>
      <name val="MS Sans Serif"/>
      <family val="2"/>
      <charset val="204"/>
    </font>
    <font>
      <sz val="14"/>
      <name val="Arial"/>
      <family val="2"/>
      <charset val="204"/>
    </font>
    <font>
      <b/>
      <sz val="14"/>
      <color rgb="FF002060"/>
      <name val="Arial"/>
      <family val="2"/>
      <charset val="204"/>
    </font>
    <font>
      <sz val="11"/>
      <color rgb="FF0070C0"/>
      <name val="Arial"/>
      <family val="2"/>
      <charset val="204"/>
    </font>
    <font>
      <sz val="11"/>
      <color theme="0" tint="-0.34998626667073579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12" fillId="0" borderId="0"/>
    <xf numFmtId="164" fontId="2" fillId="0" borderId="0" applyFont="0" applyFill="0" applyBorder="0" applyAlignment="0" applyProtection="0"/>
    <xf numFmtId="0" fontId="12" fillId="0" borderId="0"/>
    <xf numFmtId="0" fontId="16" fillId="0" borderId="0"/>
    <xf numFmtId="0" fontId="2" fillId="0" borderId="0"/>
  </cellStyleXfs>
  <cellXfs count="109">
    <xf numFmtId="0" fontId="0" fillId="0" borderId="0" xfId="0"/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4" fillId="0" borderId="0" xfId="1" applyFont="1"/>
    <xf numFmtId="0" fontId="5" fillId="0" borderId="1" xfId="1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5" fillId="0" borderId="5" xfId="1" applyFont="1" applyBorder="1"/>
    <xf numFmtId="0" fontId="6" fillId="3" borderId="6" xfId="1" applyFont="1" applyFill="1" applyBorder="1"/>
    <xf numFmtId="0" fontId="6" fillId="3" borderId="0" xfId="1" applyFont="1" applyFill="1"/>
    <xf numFmtId="0" fontId="7" fillId="4" borderId="0" xfId="1" applyFont="1" applyFill="1" applyAlignment="1">
      <alignment horizontal="center" vertical="center"/>
    </xf>
    <xf numFmtId="0" fontId="4" fillId="0" borderId="6" xfId="1" applyFont="1" applyBorder="1"/>
    <xf numFmtId="14" fontId="8" fillId="0" borderId="0" xfId="1" applyNumberFormat="1" applyFont="1"/>
    <xf numFmtId="0" fontId="2" fillId="0" borderId="0" xfId="1"/>
    <xf numFmtId="0" fontId="2" fillId="0" borderId="7" xfId="1" applyBorder="1" applyAlignment="1">
      <alignment horizontal="center"/>
    </xf>
    <xf numFmtId="0" fontId="2" fillId="0" borderId="7" xfId="1" applyBorder="1"/>
    <xf numFmtId="0" fontId="10" fillId="5" borderId="7" xfId="1" applyFont="1" applyFill="1" applyBorder="1" applyAlignment="1">
      <alignment horizontal="center"/>
    </xf>
    <xf numFmtId="0" fontId="10" fillId="6" borderId="7" xfId="1" applyFont="1" applyFill="1" applyBorder="1" applyAlignment="1">
      <alignment horizontal="center"/>
    </xf>
    <xf numFmtId="0" fontId="2" fillId="6" borderId="7" xfId="1" applyFill="1" applyBorder="1"/>
    <xf numFmtId="0" fontId="2" fillId="0" borderId="10" xfId="1" applyBorder="1"/>
    <xf numFmtId="0" fontId="2" fillId="0" borderId="11" xfId="1" applyBorder="1" applyAlignment="1">
      <alignment horizontal="center"/>
    </xf>
    <xf numFmtId="0" fontId="2" fillId="0" borderId="12" xfId="1" applyBorder="1" applyAlignment="1">
      <alignment horizontal="center"/>
    </xf>
    <xf numFmtId="0" fontId="2" fillId="0" borderId="13" xfId="1" applyBorder="1"/>
    <xf numFmtId="0" fontId="2" fillId="0" borderId="14" xfId="1" applyBorder="1" applyAlignment="1">
      <alignment horizontal="center"/>
    </xf>
    <xf numFmtId="0" fontId="2" fillId="5" borderId="15" xfId="1" applyFill="1" applyBorder="1" applyAlignment="1">
      <alignment horizontal="center"/>
    </xf>
    <xf numFmtId="0" fontId="2" fillId="5" borderId="16" xfId="1" applyFill="1" applyBorder="1" applyAlignment="1">
      <alignment horizontal="center"/>
    </xf>
    <xf numFmtId="0" fontId="2" fillId="0" borderId="17" xfId="1" applyBorder="1" applyAlignment="1">
      <alignment horizontal="center"/>
    </xf>
    <xf numFmtId="0" fontId="2" fillId="0" borderId="17" xfId="1" applyBorder="1"/>
    <xf numFmtId="0" fontId="2" fillId="0" borderId="0" xfId="1" applyAlignment="1">
      <alignment horizontal="center"/>
    </xf>
    <xf numFmtId="0" fontId="2" fillId="6" borderId="15" xfId="1" applyFill="1" applyBorder="1" applyAlignment="1">
      <alignment horizontal="center"/>
    </xf>
    <xf numFmtId="0" fontId="2" fillId="6" borderId="18" xfId="1" applyFill="1" applyBorder="1" applyAlignment="1">
      <alignment horizontal="center"/>
    </xf>
    <xf numFmtId="0" fontId="2" fillId="6" borderId="16" xfId="1" applyFill="1" applyBorder="1" applyAlignment="1">
      <alignment horizontal="center"/>
    </xf>
    <xf numFmtId="0" fontId="0" fillId="0" borderId="7" xfId="0" applyBorder="1"/>
    <xf numFmtId="0" fontId="0" fillId="7" borderId="7" xfId="0" applyFill="1" applyBorder="1"/>
    <xf numFmtId="164" fontId="0" fillId="0" borderId="7" xfId="2" applyFont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0" xfId="1" applyFont="1"/>
    <xf numFmtId="0" fontId="2" fillId="0" borderId="19" xfId="1" applyBorder="1"/>
    <xf numFmtId="0" fontId="2" fillId="0" borderId="20" xfId="1" applyBorder="1"/>
    <xf numFmtId="0" fontId="2" fillId="6" borderId="7" xfId="1" applyFill="1" applyBorder="1" applyAlignment="1">
      <alignment horizontal="center" vertical="center" wrapText="1"/>
    </xf>
    <xf numFmtId="2" fontId="2" fillId="0" borderId="7" xfId="1" applyNumberFormat="1" applyBorder="1"/>
    <xf numFmtId="0" fontId="2" fillId="5" borderId="7" xfId="1" applyFill="1" applyBorder="1" applyAlignment="1">
      <alignment horizontal="center"/>
    </xf>
    <xf numFmtId="0" fontId="11" fillId="0" borderId="0" xfId="1" applyFont="1"/>
    <xf numFmtId="0" fontId="11" fillId="8" borderId="7" xfId="3" applyFont="1" applyFill="1" applyBorder="1" applyAlignment="1">
      <alignment horizontal="center"/>
    </xf>
    <xf numFmtId="0" fontId="9" fillId="9" borderId="0" xfId="3" applyFont="1" applyFill="1" applyAlignment="1">
      <alignment horizontal="left"/>
    </xf>
    <xf numFmtId="0" fontId="9" fillId="9" borderId="0" xfId="1" applyFont="1" applyFill="1"/>
    <xf numFmtId="0" fontId="13" fillId="0" borderId="7" xfId="3" applyFont="1" applyBorder="1" applyAlignment="1">
      <alignment horizontal="center"/>
    </xf>
    <xf numFmtId="0" fontId="13" fillId="0" borderId="7" xfId="3" applyFont="1" applyBorder="1"/>
    <xf numFmtId="164" fontId="13" fillId="0" borderId="7" xfId="4" applyFont="1" applyBorder="1"/>
    <xf numFmtId="165" fontId="11" fillId="8" borderId="7" xfId="5" applyNumberFormat="1" applyFont="1" applyFill="1" applyBorder="1" applyAlignment="1">
      <alignment horizontal="center"/>
    </xf>
    <xf numFmtId="0" fontId="11" fillId="8" borderId="7" xfId="5" applyFont="1" applyFill="1" applyBorder="1" applyAlignment="1">
      <alignment horizontal="center"/>
    </xf>
    <xf numFmtId="0" fontId="10" fillId="8" borderId="7" xfId="5" applyFont="1" applyFill="1" applyBorder="1"/>
    <xf numFmtId="0" fontId="10" fillId="8" borderId="7" xfId="5" applyFont="1" applyFill="1" applyBorder="1" applyAlignment="1">
      <alignment horizontal="center"/>
    </xf>
    <xf numFmtId="0" fontId="10" fillId="10" borderId="7" xfId="5" applyFont="1" applyFill="1" applyBorder="1" applyAlignment="1">
      <alignment horizontal="center"/>
    </xf>
    <xf numFmtId="0" fontId="11" fillId="8" borderId="7" xfId="1" applyFont="1" applyFill="1" applyBorder="1" applyAlignment="1">
      <alignment horizontal="center"/>
    </xf>
    <xf numFmtId="165" fontId="13" fillId="0" borderId="7" xfId="5" applyNumberFormat="1" applyFont="1" applyBorder="1"/>
    <xf numFmtId="0" fontId="13" fillId="0" borderId="7" xfId="5" applyFont="1" applyBorder="1" applyAlignment="1">
      <alignment horizontal="center"/>
    </xf>
    <xf numFmtId="0" fontId="13" fillId="0" borderId="7" xfId="5" applyFont="1" applyBorder="1"/>
    <xf numFmtId="1" fontId="2" fillId="8" borderId="7" xfId="1" applyNumberFormat="1" applyFill="1" applyBorder="1" applyProtection="1">
      <protection locked="0"/>
    </xf>
    <xf numFmtId="0" fontId="2" fillId="5" borderId="7" xfId="1" applyFill="1" applyBorder="1"/>
    <xf numFmtId="0" fontId="14" fillId="11" borderId="0" xfId="1" applyFont="1" applyFill="1"/>
    <xf numFmtId="0" fontId="2" fillId="11" borderId="0" xfId="1" applyFill="1"/>
    <xf numFmtId="0" fontId="9" fillId="11" borderId="0" xfId="1" applyFont="1" applyFill="1"/>
    <xf numFmtId="0" fontId="15" fillId="11" borderId="0" xfId="1" applyFont="1" applyFill="1"/>
    <xf numFmtId="2" fontId="2" fillId="8" borderId="7" xfId="1" applyNumberFormat="1" applyFill="1" applyBorder="1" applyProtection="1">
      <protection locked="0"/>
    </xf>
    <xf numFmtId="166" fontId="2" fillId="8" borderId="7" xfId="1" applyNumberFormat="1" applyFill="1" applyBorder="1" applyProtection="1">
      <protection locked="0"/>
    </xf>
    <xf numFmtId="0" fontId="11" fillId="0" borderId="0" xfId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17" fillId="0" borderId="22" xfId="6" applyFont="1" applyBorder="1" applyAlignment="1">
      <alignment horizontal="centerContinuous"/>
    </xf>
    <xf numFmtId="0" fontId="18" fillId="0" borderId="23" xfId="6" applyFont="1" applyBorder="1" applyAlignment="1">
      <alignment horizontal="centerContinuous"/>
    </xf>
    <xf numFmtId="0" fontId="17" fillId="0" borderId="0" xfId="6" applyFont="1" applyAlignment="1">
      <alignment horizontal="centerContinuous"/>
    </xf>
    <xf numFmtId="0" fontId="17" fillId="0" borderId="0" xfId="6" applyFont="1"/>
    <xf numFmtId="0" fontId="18" fillId="0" borderId="22" xfId="6" applyFont="1" applyBorder="1" applyAlignment="1">
      <alignment horizontal="centerContinuous"/>
    </xf>
    <xf numFmtId="0" fontId="6" fillId="12" borderId="24" xfId="6" applyFont="1" applyFill="1" applyBorder="1" applyAlignment="1">
      <alignment horizontal="center" vertical="center" wrapText="1"/>
    </xf>
    <xf numFmtId="0" fontId="4" fillId="0" borderId="0" xfId="6" applyFont="1" applyAlignment="1">
      <alignment horizontal="center" vertical="center" wrapText="1"/>
    </xf>
    <xf numFmtId="0" fontId="4" fillId="0" borderId="24" xfId="6" applyFont="1" applyBorder="1" applyAlignment="1">
      <alignment horizontal="right"/>
    </xf>
    <xf numFmtId="0" fontId="4" fillId="0" borderId="24" xfId="6" applyFont="1" applyBorder="1"/>
    <xf numFmtId="0" fontId="4" fillId="0" borderId="0" xfId="6" applyFont="1"/>
    <xf numFmtId="0" fontId="6" fillId="12" borderId="24" xfId="6" applyFont="1" applyFill="1" applyBorder="1"/>
    <xf numFmtId="3" fontId="19" fillId="0" borderId="0" xfId="1" applyNumberFormat="1" applyFont="1"/>
    <xf numFmtId="0" fontId="20" fillId="0" borderId="0" xfId="7" applyFont="1"/>
    <xf numFmtId="0" fontId="2" fillId="0" borderId="9" xfId="1" applyBorder="1"/>
    <xf numFmtId="0" fontId="10" fillId="6" borderId="25" xfId="1" applyFont="1" applyFill="1" applyBorder="1" applyAlignment="1">
      <alignment horizontal="center"/>
    </xf>
    <xf numFmtId="0" fontId="2" fillId="0" borderId="26" xfId="1" applyBorder="1"/>
    <xf numFmtId="0" fontId="2" fillId="0" borderId="27" xfId="1" applyBorder="1"/>
    <xf numFmtId="0" fontId="2" fillId="13" borderId="7" xfId="1" applyFill="1" applyBorder="1"/>
    <xf numFmtId="49" fontId="2" fillId="13" borderId="7" xfId="1" applyNumberFormat="1" applyFill="1" applyBorder="1" applyAlignment="1">
      <alignment horizontal="right"/>
    </xf>
    <xf numFmtId="0" fontId="2" fillId="13" borderId="7" xfId="1" applyFill="1" applyBorder="1" applyProtection="1">
      <protection locked="0"/>
    </xf>
    <xf numFmtId="1" fontId="2" fillId="13" borderId="7" xfId="1" applyNumberFormat="1" applyFill="1" applyBorder="1" applyProtection="1">
      <protection locked="0"/>
    </xf>
    <xf numFmtId="0" fontId="11" fillId="14" borderId="7" xfId="1" applyFont="1" applyFill="1" applyBorder="1" applyAlignment="1">
      <alignment horizontal="center" vertical="center"/>
    </xf>
    <xf numFmtId="0" fontId="2" fillId="14" borderId="7" xfId="1" applyFill="1" applyBorder="1" applyAlignment="1">
      <alignment horizontal="center"/>
    </xf>
    <xf numFmtId="166" fontId="11" fillId="5" borderId="7" xfId="1" applyNumberFormat="1" applyFont="1" applyFill="1" applyBorder="1" applyAlignment="1" applyProtection="1">
      <alignment horizontal="center"/>
      <protection locked="0"/>
    </xf>
    <xf numFmtId="2" fontId="11" fillId="5" borderId="7" xfId="1" applyNumberFormat="1" applyFont="1" applyFill="1" applyBorder="1" applyAlignment="1" applyProtection="1">
      <alignment horizontal="center"/>
      <protection locked="0"/>
    </xf>
    <xf numFmtId="0" fontId="11" fillId="5" borderId="7" xfId="1" applyFont="1" applyFill="1" applyBorder="1" applyAlignment="1">
      <alignment horizontal="center"/>
    </xf>
    <xf numFmtId="2" fontId="2" fillId="0" borderId="0" xfId="1" applyNumberFormat="1"/>
    <xf numFmtId="0" fontId="10" fillId="5" borderId="9" xfId="1" applyFont="1" applyFill="1" applyBorder="1" applyAlignment="1">
      <alignment horizontal="right"/>
    </xf>
    <xf numFmtId="0" fontId="10" fillId="5" borderId="8" xfId="1" applyFont="1" applyFill="1" applyBorder="1" applyAlignment="1">
      <alignment horizontal="right"/>
    </xf>
    <xf numFmtId="0" fontId="10" fillId="0" borderId="0" xfId="1" applyFont="1"/>
    <xf numFmtId="0" fontId="2" fillId="0" borderId="0" xfId="1" applyAlignment="1">
      <alignment horizontal="center"/>
    </xf>
    <xf numFmtId="0" fontId="9" fillId="0" borderId="21" xfId="1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5" borderId="7" xfId="0" applyFill="1" applyBorder="1"/>
    <xf numFmtId="0" fontId="0" fillId="15" borderId="7" xfId="0" applyFill="1" applyBorder="1"/>
  </cellXfs>
  <cellStyles count="8">
    <cellStyle name="Денежный 2" xfId="2" xr:uid="{C9EC8862-F935-4C94-9E61-3B4734E8C3DD}"/>
    <cellStyle name="Денежный 3" xfId="4" xr:uid="{A910BC4E-3592-4D43-AD7F-DF6BF8952B4C}"/>
    <cellStyle name="Обычный" xfId="0" builtinId="0"/>
    <cellStyle name="Обычный 2" xfId="1" xr:uid="{E50BBD19-FBBB-4D88-8584-28DED32A7CA6}"/>
    <cellStyle name="Обычный_DHL" xfId="6" xr:uid="{8D4CB3EA-D63B-4A1D-A4A5-B633982B4FAD}"/>
    <cellStyle name="Обычный_GOODS" xfId="3" xr:uid="{F21CD1A3-3321-4968-A86B-318898A22729}"/>
    <cellStyle name="Обычный_INVOICES" xfId="5" xr:uid="{8A96159D-D571-4AF5-8BE4-DA75E0A28144}"/>
    <cellStyle name="Обычный_Функции подстановки" xfId="7" xr:uid="{A25B5D8F-A866-4AF3-A127-71A1E58CEE8D}"/>
  </cellStyles>
  <dxfs count="3">
    <dxf>
      <numFmt numFmtId="0" formatCode="General"/>
    </dxf>
    <dxf>
      <numFmt numFmtId="167" formatCode="dd/mm/yyyy"/>
    </dxf>
    <dxf>
      <alignment horizontal="center" vertical="bottom" textRotation="0" wrapText="0" relative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'Задание 3'!$B$2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3'!$A$3:$A$32</c:f>
              <c:numCache>
                <c:formatCode>General</c:formatCode>
                <c:ptCount val="30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</c:numCache>
            </c:numRef>
          </c:xVal>
          <c:yVal>
            <c:numRef>
              <c:f>'Задание 3'!$B$3:$B$32</c:f>
              <c:numCache>
                <c:formatCode>General</c:formatCode>
                <c:ptCount val="30"/>
                <c:pt idx="0">
                  <c:v>-1.1041709180756478</c:v>
                </c:pt>
                <c:pt idx="1">
                  <c:v>-1.2134027581601698</c:v>
                </c:pt>
                <c:pt idx="2">
                  <c:v>-1.3228588075760033</c:v>
                </c:pt>
                <c:pt idx="3">
                  <c:v>-1.4278246976412703</c:v>
                </c:pt>
                <c:pt idx="4">
                  <c:v>-1.5237212707001282</c:v>
                </c:pt>
                <c:pt idx="5">
                  <c:v>-1.6061188003905089</c:v>
                </c:pt>
                <c:pt idx="6">
                  <c:v>-1.6707527074704767</c:v>
                </c:pt>
                <c:pt idx="7">
                  <c:v>-1.7135409284924674</c:v>
                </c:pt>
                <c:pt idx="8">
                  <c:v>-1.7306031111569498</c:v>
                </c:pt>
                <c:pt idx="9">
                  <c:v>-1.7182818284590455</c:v>
                </c:pt>
                <c:pt idx="10">
                  <c:v>-1.673166023946433</c:v>
                </c:pt>
                <c:pt idx="11">
                  <c:v>-1.5921169227365473</c:v>
                </c:pt>
                <c:pt idx="12">
                  <c:v>-1.4722966676192439</c:v>
                </c:pt>
                <c:pt idx="13">
                  <c:v>-1.3111999668446748</c:v>
                </c:pt>
                <c:pt idx="14">
                  <c:v>-1.1066890703380636</c:v>
                </c:pt>
                <c:pt idx="15">
                  <c:v>-0.85703242439511484</c:v>
                </c:pt>
                <c:pt idx="16">
                  <c:v>-0.56094739172719787</c:v>
                </c:pt>
                <c:pt idx="17">
                  <c:v>-0.21764746441294491</c:v>
                </c:pt>
                <c:pt idx="18">
                  <c:v>0.17310555772073322</c:v>
                </c:pt>
                <c:pt idx="19">
                  <c:v>0.61094390106935226</c:v>
                </c:pt>
                <c:pt idx="20">
                  <c:v>1.0948300874323511</c:v>
                </c:pt>
                <c:pt idx="21">
                  <c:v>1.6229865005658812</c:v>
                </c:pt>
                <c:pt idx="22">
                  <c:v>2.1928175451852852</c:v>
                </c:pt>
                <c:pt idx="23">
                  <c:v>2.800823619358404</c:v>
                </c:pt>
                <c:pt idx="24">
                  <c:v>3.4425060392965321</c:v>
                </c:pt>
                <c:pt idx="25">
                  <c:v>4.1122619649983143</c:v>
                </c:pt>
                <c:pt idx="26">
                  <c:v>4.8032682751271718</c:v>
                </c:pt>
                <c:pt idx="27">
                  <c:v>5.5073532289029572</c:v>
                </c:pt>
                <c:pt idx="28">
                  <c:v>6.2148546305569461</c:v>
                </c:pt>
                <c:pt idx="29">
                  <c:v>6.9144630768123392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FD-467C-B988-D126FFD278B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647048464"/>
        <c:axId val="647053264"/>
      </c:scatterChart>
      <c:valAx>
        <c:axId val="64704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7053264"/>
        <c:crosses val="autoZero"/>
        <c:crossBetween val="midCat"/>
      </c:valAx>
      <c:valAx>
        <c:axId val="64705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704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Аэропорты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4'!$B$9:$B$20</c:f>
              <c:numCache>
                <c:formatCode>General</c:formatCode>
                <c:ptCount val="12"/>
                <c:pt idx="0">
                  <c:v>234.7</c:v>
                </c:pt>
                <c:pt idx="1">
                  <c:v>23.89</c:v>
                </c:pt>
                <c:pt idx="2">
                  <c:v>456.9</c:v>
                </c:pt>
                <c:pt idx="3">
                  <c:v>120.1</c:v>
                </c:pt>
                <c:pt idx="4">
                  <c:v>301</c:v>
                </c:pt>
                <c:pt idx="5">
                  <c:v>177.5</c:v>
                </c:pt>
                <c:pt idx="6">
                  <c:v>198.9</c:v>
                </c:pt>
                <c:pt idx="7">
                  <c:v>67.900000000000006</c:v>
                </c:pt>
                <c:pt idx="8">
                  <c:v>347.8</c:v>
                </c:pt>
                <c:pt idx="9">
                  <c:v>45.9</c:v>
                </c:pt>
                <c:pt idx="10">
                  <c:v>100.7</c:v>
                </c:pt>
                <c:pt idx="11">
                  <c:v>99.7</c:v>
                </c:pt>
              </c:numCache>
            </c:numRef>
          </c:xVal>
          <c:yVal>
            <c:numRef>
              <c:f>'Задание 4'!$C$9:$C$20</c:f>
              <c:numCache>
                <c:formatCode>General</c:formatCode>
                <c:ptCount val="12"/>
                <c:pt idx="0">
                  <c:v>45.7</c:v>
                </c:pt>
                <c:pt idx="1">
                  <c:v>345.9</c:v>
                </c:pt>
                <c:pt idx="2">
                  <c:v>345.9</c:v>
                </c:pt>
                <c:pt idx="3">
                  <c:v>222.9</c:v>
                </c:pt>
                <c:pt idx="4">
                  <c:v>23.9</c:v>
                </c:pt>
                <c:pt idx="5">
                  <c:v>56.8</c:v>
                </c:pt>
                <c:pt idx="6">
                  <c:v>100.7</c:v>
                </c:pt>
                <c:pt idx="7">
                  <c:v>198.7</c:v>
                </c:pt>
                <c:pt idx="8">
                  <c:v>20.77</c:v>
                </c:pt>
                <c:pt idx="9">
                  <c:v>239.8</c:v>
                </c:pt>
                <c:pt idx="10">
                  <c:v>201.7</c:v>
                </c:pt>
                <c:pt idx="11">
                  <c:v>100.4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38-43BA-81C7-84971F7D0357}"/>
            </c:ext>
          </c:extLst>
        </c:ser>
        <c:ser>
          <c:idx val="1"/>
          <c:order val="1"/>
          <c:tx>
            <c:v>Самолет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'Задание 4'!$B$4</c:f>
              <c:numCache>
                <c:formatCode>General</c:formatCode>
                <c:ptCount val="1"/>
                <c:pt idx="0">
                  <c:v>132.69999999999999</c:v>
                </c:pt>
              </c:numCache>
            </c:numRef>
          </c:xVal>
          <c:yVal>
            <c:numRef>
              <c:f>'Задание 4'!$C$4</c:f>
              <c:numCache>
                <c:formatCode>General</c:formatCode>
                <c:ptCount val="1"/>
                <c:pt idx="0">
                  <c:v>23.6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38-43BA-81C7-84971F7D0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873664"/>
        <c:axId val="649864064"/>
      </c:scatterChart>
      <c:valAx>
        <c:axId val="64987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9864064"/>
        <c:crosses val="autoZero"/>
        <c:crossBetween val="midCat"/>
      </c:valAx>
      <c:valAx>
        <c:axId val="64986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9873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реализации мероприятий</a:t>
            </a:r>
            <a:endParaRPr lang="ru-RU"/>
          </a:p>
        </c:rich>
      </c:tx>
      <c:layout>
        <c:manualLayout>
          <c:xMode val="edge"/>
          <c:yMode val="edge"/>
          <c:x val="0.11248356069006421"/>
          <c:y val="0.85065710872162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20668140759392314"/>
          <c:y val="3.5985663082437273E-2"/>
          <c:w val="0.75013341573567027"/>
          <c:h val="0.6381681859660015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'Задание 10'!$C$3</c:f>
              <c:strCache>
                <c:ptCount val="1"/>
                <c:pt idx="0">
                  <c:v>Начало, день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'Задание 10'!$B$4:$B$9</c:f>
              <c:strCache>
                <c:ptCount val="6"/>
                <c:pt idx="0">
                  <c:v>Мероприятие 1</c:v>
                </c:pt>
                <c:pt idx="1">
                  <c:v>Мероприятие 2</c:v>
                </c:pt>
                <c:pt idx="2">
                  <c:v>Мероприятие 3</c:v>
                </c:pt>
                <c:pt idx="3">
                  <c:v>Мероприятие 4</c:v>
                </c:pt>
                <c:pt idx="4">
                  <c:v>Мероприятие 5</c:v>
                </c:pt>
                <c:pt idx="5">
                  <c:v>Мероприятие 6</c:v>
                </c:pt>
              </c:strCache>
            </c:strRef>
          </c:cat>
          <c:val>
            <c:numRef>
              <c:f>'Задание 10'!$C$4:$C$9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D-43A4-BF03-148EE91A175E}"/>
            </c:ext>
          </c:extLst>
        </c:ser>
        <c:ser>
          <c:idx val="1"/>
          <c:order val="1"/>
          <c:tx>
            <c:strRef>
              <c:f>'Задание 10'!$D$3</c:f>
              <c:strCache>
                <c:ptCount val="1"/>
                <c:pt idx="0">
                  <c:v>Длительность, дней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'Задание 10'!$B$4:$B$9</c:f>
              <c:strCache>
                <c:ptCount val="6"/>
                <c:pt idx="0">
                  <c:v>Мероприятие 1</c:v>
                </c:pt>
                <c:pt idx="1">
                  <c:v>Мероприятие 2</c:v>
                </c:pt>
                <c:pt idx="2">
                  <c:v>Мероприятие 3</c:v>
                </c:pt>
                <c:pt idx="3">
                  <c:v>Мероприятие 4</c:v>
                </c:pt>
                <c:pt idx="4">
                  <c:v>Мероприятие 5</c:v>
                </c:pt>
                <c:pt idx="5">
                  <c:v>Мероприятие 6</c:v>
                </c:pt>
              </c:strCache>
            </c:strRef>
          </c:cat>
          <c:val>
            <c:numRef>
              <c:f>'Задание 10'!$D$4:$D$9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ED-43A4-BF03-148EE91A1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3735040"/>
        <c:axId val="703736960"/>
      </c:barChart>
      <c:catAx>
        <c:axId val="7037350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3736960"/>
        <c:crosses val="autoZero"/>
        <c:auto val="1"/>
        <c:lblAlgn val="ctr"/>
        <c:lblOffset val="100"/>
        <c:noMultiLvlLbl val="0"/>
      </c:catAx>
      <c:valAx>
        <c:axId val="7037369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день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3735040"/>
        <c:crosses val="autoZero"/>
        <c:crossBetween val="between"/>
        <c:majorUnit val="1"/>
        <c:minorUnit val="0.5"/>
      </c:valAx>
      <c:spPr>
        <a:noFill/>
        <a:ln w="0">
          <a:noFill/>
          <a:prstDash val="solid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accent1">
          <a:alpha val="9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1</xdr:row>
      <xdr:rowOff>28575</xdr:rowOff>
    </xdr:from>
    <xdr:to>
      <xdr:col>11</xdr:col>
      <xdr:colOff>542925</xdr:colOff>
      <xdr:row>7</xdr:row>
      <xdr:rowOff>47625</xdr:rowOff>
    </xdr:to>
    <xdr:sp macro="" textlink="">
      <xdr:nvSpPr>
        <xdr:cNvPr id="2" name="Загнутый угол 1">
          <a:extLst>
            <a:ext uri="{FF2B5EF4-FFF2-40B4-BE49-F238E27FC236}">
              <a16:creationId xmlns:a16="http://schemas.microsoft.com/office/drawing/2014/main" id="{F2BE1D53-E0CF-4399-AAEB-AFDE4BCE0091}"/>
            </a:ext>
          </a:extLst>
        </xdr:cNvPr>
        <xdr:cNvSpPr/>
      </xdr:nvSpPr>
      <xdr:spPr>
        <a:xfrm>
          <a:off x="6753225" y="314325"/>
          <a:ext cx="3571875" cy="110490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ассчитать данные столбцов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Цена, руб.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Цена,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$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используя в расчете значения курса евро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курса доллара с листа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Курс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161924</xdr:rowOff>
    </xdr:from>
    <xdr:to>
      <xdr:col>13</xdr:col>
      <xdr:colOff>523875</xdr:colOff>
      <xdr:row>14</xdr:row>
      <xdr:rowOff>85725</xdr:rowOff>
    </xdr:to>
    <xdr:sp macro="" textlink="">
      <xdr:nvSpPr>
        <xdr:cNvPr id="2" name="Загнутый угол 1">
          <a:extLst>
            <a:ext uri="{FF2B5EF4-FFF2-40B4-BE49-F238E27FC236}">
              <a16:creationId xmlns:a16="http://schemas.microsoft.com/office/drawing/2014/main" id="{32A11D87-5E92-4EB0-8CE2-30B222EC710E}"/>
            </a:ext>
          </a:extLst>
        </xdr:cNvPr>
        <xdr:cNvSpPr/>
      </xdr:nvSpPr>
      <xdr:spPr>
        <a:xfrm>
          <a:off x="5934075" y="1009649"/>
          <a:ext cx="3571875" cy="1390651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одвести итоги соревнований по стендовой стрельбе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1) Командные результаты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2) Личное первенство (Итоговая таблица)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3) Средний результат по всем участникам.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1</xdr:row>
      <xdr:rowOff>1</xdr:rowOff>
    </xdr:from>
    <xdr:to>
      <xdr:col>8</xdr:col>
      <xdr:colOff>590551</xdr:colOff>
      <xdr:row>6</xdr:row>
      <xdr:rowOff>47626</xdr:rowOff>
    </xdr:to>
    <xdr:sp macro="" textlink="">
      <xdr:nvSpPr>
        <xdr:cNvPr id="2" name="Загнутый угол 1">
          <a:extLst>
            <a:ext uri="{FF2B5EF4-FFF2-40B4-BE49-F238E27FC236}">
              <a16:creationId xmlns:a16="http://schemas.microsoft.com/office/drawing/2014/main" id="{42B50FEF-76F7-449F-8F35-BA870BFEE0DF}"/>
            </a:ext>
          </a:extLst>
        </xdr:cNvPr>
        <xdr:cNvSpPr/>
      </xdr:nvSpPr>
      <xdr:spPr>
        <a:xfrm>
          <a:off x="2438401" y="161926"/>
          <a:ext cx="3028950" cy="85725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остроить график функции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y = x^3-exp(x)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на отрезке [0; 3] с шагом 0,1 </a:t>
          </a:r>
        </a:p>
      </xdr:txBody>
    </xdr:sp>
    <xdr:clientData/>
  </xdr:twoCellAnchor>
  <xdr:twoCellAnchor>
    <xdr:from>
      <xdr:col>2</xdr:col>
      <xdr:colOff>438150</xdr:colOff>
      <xdr:row>13</xdr:row>
      <xdr:rowOff>42862</xdr:rowOff>
    </xdr:from>
    <xdr:to>
      <xdr:col>10</xdr:col>
      <xdr:colOff>133350</xdr:colOff>
      <xdr:row>30</xdr:row>
      <xdr:rowOff>33337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378E216-2D78-BEC1-C28A-F73FE290D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0</xdr:row>
      <xdr:rowOff>171447</xdr:rowOff>
    </xdr:from>
    <xdr:to>
      <xdr:col>16</xdr:col>
      <xdr:colOff>571500</xdr:colOff>
      <xdr:row>8</xdr:row>
      <xdr:rowOff>180974</xdr:rowOff>
    </xdr:to>
    <xdr:sp macro="" textlink="">
      <xdr:nvSpPr>
        <xdr:cNvPr id="2" name="Загнутый угол 1">
          <a:extLst>
            <a:ext uri="{FF2B5EF4-FFF2-40B4-BE49-F238E27FC236}">
              <a16:creationId xmlns:a16="http://schemas.microsoft.com/office/drawing/2014/main" id="{A8815A33-DDE4-4DF3-8C3E-16A298B04445}"/>
            </a:ext>
          </a:extLst>
        </xdr:cNvPr>
        <xdr:cNvSpPr/>
      </xdr:nvSpPr>
      <xdr:spPr>
        <a:xfrm>
          <a:off x="3771899" y="171447"/>
          <a:ext cx="7439026" cy="1876427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пределить ближайший к самолету аэропорт.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спользуя формулы,  заполнить правый столбец расстояний от каждого аэропорта до самолета.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айти из этих значений минимальное и вставить его в ячейку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D21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остройте точечный график на который нанесите маркерами координаты аэропортов и положение самолета.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accent1">
                <a:lumMod val="50000"/>
              </a:schemeClr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Для справки: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Расстояние между точками с координатами (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X1;Y1)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(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X2;Y2)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accent1">
                <a:lumMod val="50000"/>
              </a:schemeClr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R =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КОРЕНЬ((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X2-X1)^2+(Y2-Y1)^2)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accent1">
                <a:lumMod val="50000"/>
              </a:schemeClr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4</xdr:col>
      <xdr:colOff>266700</xdr:colOff>
      <xdr:row>9</xdr:row>
      <xdr:rowOff>157162</xdr:rowOff>
    </xdr:from>
    <xdr:to>
      <xdr:col>13</xdr:col>
      <xdr:colOff>28575</xdr:colOff>
      <xdr:row>26</xdr:row>
      <xdr:rowOff>119062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6AC259D-4B8B-2A59-DD2A-0746559CA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371474</xdr:colOff>
      <xdr:row>0</xdr:row>
      <xdr:rowOff>200024</xdr:rowOff>
    </xdr:from>
    <xdr:to>
      <xdr:col>15</xdr:col>
      <xdr:colOff>19049</xdr:colOff>
      <xdr:row>6</xdr:row>
      <xdr:rowOff>57150</xdr:rowOff>
    </xdr:to>
    <xdr:sp macro="" textlink="">
      <xdr:nvSpPr>
        <xdr:cNvPr id="2" name="Загнутый угол 1">
          <a:extLst>
            <a:ext uri="{FF2B5EF4-FFF2-40B4-BE49-F238E27FC236}">
              <a16:creationId xmlns:a16="http://schemas.microsoft.com/office/drawing/2014/main" id="{626703A8-46A0-47D3-9351-C3187403F3F7}"/>
            </a:ext>
          </a:extLst>
        </xdr:cNvPr>
        <xdr:cNvSpPr/>
      </xdr:nvSpPr>
      <xdr:spPr>
        <a:xfrm>
          <a:off x="4533899" y="200024"/>
          <a:ext cx="6353175" cy="1104901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бъединить содержимое ячеек в двух соседних столбцах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и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как это сделано в ячейке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2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для первой строки, для ВСЕХ остальных строк.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Можно сделайте эту операцию с помощью функции или с помощью формулы без функции.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accent1">
                <a:lumMod val="50000"/>
              </a:schemeClr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0</xdr:rowOff>
    </xdr:from>
    <xdr:to>
      <xdr:col>15</xdr:col>
      <xdr:colOff>485775</xdr:colOff>
      <xdr:row>6</xdr:row>
      <xdr:rowOff>95250</xdr:rowOff>
    </xdr:to>
    <xdr:sp macro="" textlink="">
      <xdr:nvSpPr>
        <xdr:cNvPr id="2" name="Загнутый угол 1">
          <a:extLst>
            <a:ext uri="{FF2B5EF4-FFF2-40B4-BE49-F238E27FC236}">
              <a16:creationId xmlns:a16="http://schemas.microsoft.com/office/drawing/2014/main" id="{57DDD6F4-60EA-472D-8628-A1944377C243}"/>
            </a:ext>
          </a:extLst>
        </xdr:cNvPr>
        <xdr:cNvSpPr/>
      </xdr:nvSpPr>
      <xdr:spPr>
        <a:xfrm>
          <a:off x="3076575" y="161925"/>
          <a:ext cx="6553200" cy="90487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столбце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A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записаны даты финансовых операций, а в столбце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B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-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соответствующие им суммы.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еобходимо в ячейке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D2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подсчитать общую сумму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по всем операциям за 20.02.01.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15</xdr:col>
      <xdr:colOff>390525</xdr:colOff>
      <xdr:row>6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39D292-C25D-4539-B433-6C637E5C6CF6}"/>
            </a:ext>
          </a:extLst>
        </xdr:cNvPr>
        <xdr:cNvSpPr txBox="1"/>
      </xdr:nvSpPr>
      <xdr:spPr>
        <a:xfrm>
          <a:off x="7553325" y="381000"/>
          <a:ext cx="5876925" cy="1295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Опытно-розничная</a:t>
          </a:r>
          <a:r>
            <a:rPr lang="ru-RU" sz="1100" baseline="0"/>
            <a:t> компания ООО "Авторучка" продает канцтовары.  Причем продажа осуществляется как коробками, так и отдельно штуками. </a:t>
          </a:r>
        </a:p>
        <a:p>
          <a:r>
            <a:rPr lang="ru-RU" sz="1100" baseline="0"/>
            <a:t>В представленной таблице показаны  итоги продаж товаров .</a:t>
          </a:r>
        </a:p>
        <a:p>
          <a:r>
            <a:rPr lang="ru-RU" sz="1100" baseline="0"/>
            <a:t>Требуется подвести общие итоги в рублях. </a:t>
          </a:r>
        </a:p>
        <a:p>
          <a:endParaRPr lang="ru-RU" sz="1100" baseline="0"/>
        </a:p>
        <a:p>
          <a:r>
            <a:rPr lang="en-US" sz="1100" baseline="0"/>
            <a:t>P.S. </a:t>
          </a:r>
          <a:r>
            <a:rPr lang="ru-RU" sz="1100" baseline="0"/>
            <a:t>Желательно использовать формулу массива. </a:t>
          </a:r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7</xdr:row>
      <xdr:rowOff>38100</xdr:rowOff>
    </xdr:from>
    <xdr:to>
      <xdr:col>13</xdr:col>
      <xdr:colOff>495300</xdr:colOff>
      <xdr:row>33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3C738D-3771-4E34-A393-F8B91C8CF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38725" y="1171575"/>
          <a:ext cx="5219700" cy="4305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561976</xdr:colOff>
      <xdr:row>1</xdr:row>
      <xdr:rowOff>28575</xdr:rowOff>
    </xdr:from>
    <xdr:to>
      <xdr:col>12</xdr:col>
      <xdr:colOff>180976</xdr:colOff>
      <xdr:row>6</xdr:row>
      <xdr:rowOff>47625</xdr:rowOff>
    </xdr:to>
    <xdr:sp macro="" textlink="">
      <xdr:nvSpPr>
        <xdr:cNvPr id="3" name="Загнутый угол 2">
          <a:extLst>
            <a:ext uri="{FF2B5EF4-FFF2-40B4-BE49-F238E27FC236}">
              <a16:creationId xmlns:a16="http://schemas.microsoft.com/office/drawing/2014/main" id="{37999DA5-D913-4007-91A3-A50A4858587F}"/>
            </a:ext>
          </a:extLst>
        </xdr:cNvPr>
        <xdr:cNvSpPr/>
      </xdr:nvSpPr>
      <xdr:spPr>
        <a:xfrm>
          <a:off x="5448301" y="190500"/>
          <a:ext cx="3886200" cy="82867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5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остройте диаграмму Ганта по данным в таблице.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accent5">
                  <a:lumMod val="50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Образец приведен на картинке ниже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0</xdr:col>
      <xdr:colOff>285750</xdr:colOff>
      <xdr:row>9</xdr:row>
      <xdr:rowOff>42862</xdr:rowOff>
    </xdr:from>
    <xdr:to>
      <xdr:col>4</xdr:col>
      <xdr:colOff>581025</xdr:colOff>
      <xdr:row>26</xdr:row>
      <xdr:rowOff>33337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96F46F4-76E5-52DB-BA4F-E9BC3D9F6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304800</xdr:colOff>
      <xdr:row>1</xdr:row>
      <xdr:rowOff>152400</xdr:rowOff>
    </xdr:from>
    <xdr:ext cx="5753100" cy="1847850"/>
    <xdr:pic>
      <xdr:nvPicPr>
        <xdr:cNvPr id="2" name="Picture 1">
          <a:extLst>
            <a:ext uri="{FF2B5EF4-FFF2-40B4-BE49-F238E27FC236}">
              <a16:creationId xmlns:a16="http://schemas.microsoft.com/office/drawing/2014/main" id="{D1BA739D-9311-4632-A687-4ED8B077D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00" y="342900"/>
          <a:ext cx="5753100" cy="1847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6</xdr:row>
      <xdr:rowOff>66675</xdr:rowOff>
    </xdr:from>
    <xdr:to>
      <xdr:col>16</xdr:col>
      <xdr:colOff>561975</xdr:colOff>
      <xdr:row>19</xdr:row>
      <xdr:rowOff>38100</xdr:rowOff>
    </xdr:to>
    <xdr:sp macro="" textlink="">
      <xdr:nvSpPr>
        <xdr:cNvPr id="2" name="Загнутый угол 2">
          <a:extLst>
            <a:ext uri="{FF2B5EF4-FFF2-40B4-BE49-F238E27FC236}">
              <a16:creationId xmlns:a16="http://schemas.microsoft.com/office/drawing/2014/main" id="{7F6F615B-958F-4BC6-8823-904C3EEFFF01}"/>
            </a:ext>
          </a:extLst>
        </xdr:cNvPr>
        <xdr:cNvSpPr/>
      </xdr:nvSpPr>
      <xdr:spPr>
        <a:xfrm>
          <a:off x="7705725" y="1285875"/>
          <a:ext cx="5286375" cy="232410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ыяснить в таблице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ТОВАРЫ 2011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выпуск каких товаров продолжается в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2012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г, а каких был завершен в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2011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г.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Данные по ассортименту товаров в 2012 году представлены в таблице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ТОВАРЫ 2012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пределить в таблице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ТОВАРЫ 2012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выпуск каких товаров продолжается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по данным таблицы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ТОВАРЫ 2011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выпуск каких товаров был начат только в 2012 г.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роверить результаты вычислений по значениям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L3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L4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APERS\CAPRAPSCH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/>
          <cell r="BB98"/>
          <cell r="BC98"/>
          <cell r="BD98"/>
          <cell r="BE98"/>
          <cell r="BF98"/>
          <cell r="BG98"/>
          <cell r="BH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/>
          <cell r="DH98"/>
          <cell r="DI98"/>
          <cell r="DJ98"/>
          <cell r="DK98"/>
          <cell r="DL98"/>
          <cell r="DM98"/>
          <cell r="DN98"/>
          <cell r="DO98"/>
          <cell r="DP98"/>
          <cell r="DQ98"/>
          <cell r="DR98"/>
          <cell r="DS98"/>
          <cell r="DT98"/>
          <cell r="DU98"/>
          <cell r="DV98"/>
          <cell r="DW98"/>
          <cell r="DX98"/>
          <cell r="DY98"/>
          <cell r="DZ98"/>
          <cell r="EA98"/>
          <cell r="EB98"/>
          <cell r="EC98"/>
          <cell r="ED98"/>
          <cell r="EE98"/>
          <cell r="EF98"/>
          <cell r="EG98"/>
          <cell r="EH98"/>
          <cell r="EI98"/>
          <cell r="EJ98"/>
          <cell r="EK98"/>
          <cell r="EL98"/>
          <cell r="EM98"/>
          <cell r="EN98"/>
          <cell r="EO98"/>
          <cell r="EP98"/>
          <cell r="EQ98"/>
          <cell r="ER98"/>
          <cell r="ES98"/>
          <cell r="ET98"/>
          <cell r="EU98"/>
          <cell r="EV98"/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K99"/>
          <cell r="DL99"/>
          <cell r="DM99"/>
          <cell r="DN99"/>
          <cell r="DO99"/>
          <cell r="DP99"/>
          <cell r="DQ99"/>
          <cell r="DR99"/>
          <cell r="DS99"/>
          <cell r="DT99"/>
          <cell r="DU99"/>
          <cell r="DV99"/>
          <cell r="DW99"/>
          <cell r="DX99"/>
          <cell r="DY99"/>
          <cell r="DZ99"/>
          <cell r="EA99"/>
          <cell r="EB99"/>
          <cell r="EC99"/>
          <cell r="ED99"/>
          <cell r="EE99"/>
          <cell r="EF99"/>
          <cell r="EG99"/>
          <cell r="EH99"/>
          <cell r="EI99"/>
          <cell r="EJ99"/>
          <cell r="EK99"/>
          <cell r="EL99"/>
          <cell r="EM99"/>
          <cell r="EN99"/>
          <cell r="EO99"/>
          <cell r="EP99"/>
          <cell r="EQ99"/>
          <cell r="ER99"/>
          <cell r="ES99"/>
          <cell r="ET99"/>
          <cell r="EU99"/>
          <cell r="EV99"/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K100"/>
          <cell r="DL100"/>
          <cell r="DM100"/>
          <cell r="DN100"/>
          <cell r="DO100"/>
          <cell r="DP100"/>
          <cell r="DQ100"/>
          <cell r="DR100"/>
          <cell r="DS100"/>
          <cell r="DT100"/>
          <cell r="DU100"/>
          <cell r="DV100"/>
          <cell r="DW100"/>
          <cell r="DX100"/>
          <cell r="DY100"/>
          <cell r="DZ100"/>
          <cell r="EA100"/>
          <cell r="EB100"/>
          <cell r="EC100"/>
          <cell r="ED100"/>
          <cell r="EE100"/>
          <cell r="EF100"/>
          <cell r="EG100"/>
          <cell r="EH100"/>
          <cell r="EI100"/>
          <cell r="EJ100"/>
          <cell r="EK100"/>
          <cell r="EL100"/>
          <cell r="EM100"/>
          <cell r="EN100"/>
          <cell r="EO100"/>
          <cell r="EP100"/>
          <cell r="EQ100"/>
          <cell r="ER100"/>
          <cell r="ES100"/>
          <cell r="ET100"/>
          <cell r="EU100"/>
          <cell r="EV100"/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K110"/>
          <cell r="DL110"/>
          <cell r="DM110"/>
          <cell r="DN110"/>
          <cell r="DO110"/>
          <cell r="DP110"/>
          <cell r="DQ110"/>
          <cell r="DR110"/>
          <cell r="DS110"/>
          <cell r="DT110"/>
          <cell r="DU110"/>
          <cell r="DV110"/>
          <cell r="DW110"/>
          <cell r="DX110"/>
          <cell r="DY110"/>
          <cell r="DZ110"/>
          <cell r="EA110"/>
          <cell r="EB110"/>
          <cell r="EC110"/>
          <cell r="ED110"/>
          <cell r="EE110"/>
          <cell r="EF110"/>
          <cell r="EG110"/>
          <cell r="EH110"/>
          <cell r="EI110"/>
          <cell r="EJ110"/>
          <cell r="EK110"/>
          <cell r="EL110"/>
          <cell r="EM110"/>
          <cell r="EN110"/>
          <cell r="EO110"/>
          <cell r="EP110"/>
          <cell r="EQ110"/>
          <cell r="ER110"/>
          <cell r="ES110"/>
          <cell r="ET110"/>
          <cell r="EU110"/>
          <cell r="EV110"/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K111"/>
          <cell r="DL111"/>
          <cell r="DM111"/>
          <cell r="DN111"/>
          <cell r="DO111"/>
          <cell r="DP111"/>
          <cell r="DQ111"/>
          <cell r="DR111"/>
          <cell r="DS111"/>
          <cell r="DT111"/>
          <cell r="DU111"/>
          <cell r="DV111"/>
          <cell r="DW111"/>
          <cell r="DX111"/>
          <cell r="DY111"/>
          <cell r="DZ111"/>
          <cell r="EA111"/>
          <cell r="EB111"/>
          <cell r="EC111"/>
          <cell r="ED111"/>
          <cell r="EE111"/>
          <cell r="EF111"/>
          <cell r="EG111"/>
          <cell r="EH111"/>
          <cell r="EI111"/>
          <cell r="EJ111"/>
          <cell r="EK111"/>
          <cell r="EL111"/>
          <cell r="EM111"/>
          <cell r="EN111"/>
          <cell r="EO111"/>
          <cell r="EP111"/>
          <cell r="EQ111"/>
          <cell r="ER111"/>
          <cell r="ES111"/>
          <cell r="ET111"/>
          <cell r="EU111"/>
          <cell r="EV111"/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K112"/>
          <cell r="DL112"/>
          <cell r="DM112"/>
          <cell r="DN112"/>
          <cell r="DO112"/>
          <cell r="DP112"/>
          <cell r="DQ112"/>
          <cell r="DR112"/>
          <cell r="DS112"/>
          <cell r="DT112"/>
          <cell r="DU112"/>
          <cell r="DV112"/>
          <cell r="DW112"/>
          <cell r="DX112"/>
          <cell r="DY112"/>
          <cell r="DZ112"/>
          <cell r="EA112"/>
          <cell r="EB112"/>
          <cell r="EC112"/>
          <cell r="ED112"/>
          <cell r="EE112"/>
          <cell r="EF112"/>
          <cell r="EG112"/>
          <cell r="EH112"/>
          <cell r="EI112"/>
          <cell r="EJ112"/>
          <cell r="EK112"/>
          <cell r="EL112"/>
          <cell r="EM112"/>
          <cell r="EN112"/>
          <cell r="EO112"/>
          <cell r="EP112"/>
          <cell r="EQ112"/>
          <cell r="ER112"/>
          <cell r="ES112"/>
          <cell r="ET112"/>
          <cell r="EU112"/>
          <cell r="EV112"/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K116"/>
          <cell r="DL116"/>
          <cell r="DM116"/>
          <cell r="DN116"/>
          <cell r="DO116"/>
          <cell r="DP116"/>
          <cell r="DQ116"/>
          <cell r="DR116"/>
          <cell r="DS116"/>
          <cell r="DT116"/>
          <cell r="DU116"/>
          <cell r="DV116"/>
          <cell r="DW116"/>
          <cell r="DX116"/>
          <cell r="DY116"/>
          <cell r="DZ116"/>
          <cell r="EA116"/>
          <cell r="EB116"/>
          <cell r="EC116"/>
          <cell r="ED116"/>
          <cell r="EE116"/>
          <cell r="EF116"/>
          <cell r="EG116"/>
          <cell r="EH116"/>
          <cell r="EI116"/>
          <cell r="EJ116"/>
          <cell r="EK116"/>
          <cell r="EL116"/>
          <cell r="EM116"/>
          <cell r="EN116"/>
          <cell r="EO116"/>
          <cell r="EP116"/>
          <cell r="EQ116"/>
          <cell r="ER116"/>
          <cell r="ES116"/>
          <cell r="ET116"/>
          <cell r="EU116"/>
          <cell r="EV116"/>
          <cell r="EW116"/>
          <cell r="EX116"/>
          <cell r="EY116"/>
          <cell r="EZ116"/>
          <cell r="FA116"/>
          <cell r="FB116"/>
          <cell r="FC116"/>
          <cell r="FD116"/>
          <cell r="FE116"/>
          <cell r="FF116"/>
          <cell r="FG116"/>
          <cell r="FH116"/>
          <cell r="FI116"/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/>
          <cell r="BJ117">
            <v>75000</v>
          </cell>
          <cell r="BK117"/>
          <cell r="BL117"/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  <cell r="CO117"/>
          <cell r="CP117"/>
          <cell r="CQ117"/>
          <cell r="CR117"/>
          <cell r="CS117"/>
          <cell r="CT117"/>
          <cell r="CU117"/>
          <cell r="CV117"/>
          <cell r="CW117"/>
          <cell r="CX117"/>
          <cell r="CY117"/>
          <cell r="CZ117"/>
          <cell r="DA117"/>
          <cell r="DB117"/>
          <cell r="DC117"/>
          <cell r="DD117"/>
          <cell r="DE117"/>
          <cell r="DF117"/>
          <cell r="DG117"/>
          <cell r="DH117"/>
          <cell r="DI117"/>
          <cell r="DJ117"/>
          <cell r="DK117"/>
          <cell r="DL117"/>
          <cell r="DM117"/>
          <cell r="DN117"/>
          <cell r="DO117"/>
          <cell r="DP117"/>
          <cell r="DQ117"/>
          <cell r="DR117"/>
          <cell r="DS117"/>
          <cell r="DT117"/>
          <cell r="DU117"/>
          <cell r="DV117"/>
          <cell r="DW117"/>
          <cell r="DX117"/>
          <cell r="DY117"/>
          <cell r="DZ117"/>
          <cell r="EA117"/>
          <cell r="EB117"/>
          <cell r="EC117"/>
          <cell r="ED117"/>
          <cell r="EE117"/>
          <cell r="EF117"/>
          <cell r="EG117"/>
          <cell r="EH117"/>
          <cell r="EI117"/>
          <cell r="EJ117"/>
          <cell r="EK117"/>
          <cell r="EL117"/>
          <cell r="EM117"/>
          <cell r="EN117"/>
          <cell r="EO117"/>
          <cell r="EP117"/>
          <cell r="EQ117"/>
          <cell r="ER117"/>
          <cell r="ES117"/>
          <cell r="ET117"/>
          <cell r="EU117"/>
          <cell r="EV117"/>
          <cell r="EW117"/>
          <cell r="EX117"/>
          <cell r="EY117"/>
          <cell r="EZ117"/>
          <cell r="FA117"/>
          <cell r="FB117"/>
          <cell r="FC117"/>
          <cell r="FD117"/>
          <cell r="FE117"/>
          <cell r="FF117"/>
          <cell r="FG117"/>
          <cell r="FH117"/>
          <cell r="FI117"/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/>
          <cell r="BJ118">
            <v>155714.29</v>
          </cell>
          <cell r="BK118">
            <v>130000</v>
          </cell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K118"/>
          <cell r="DL118"/>
          <cell r="DM118"/>
          <cell r="DN118"/>
          <cell r="DO118"/>
          <cell r="DP118"/>
          <cell r="DQ118"/>
          <cell r="DR118"/>
          <cell r="DS118"/>
          <cell r="DT118"/>
          <cell r="DU118"/>
          <cell r="DV118"/>
          <cell r="DW118"/>
          <cell r="DX118"/>
          <cell r="DY118"/>
          <cell r="DZ118"/>
          <cell r="EA118"/>
          <cell r="EB118"/>
          <cell r="EC118"/>
          <cell r="ED118"/>
          <cell r="EE118"/>
          <cell r="EF118"/>
          <cell r="EG118"/>
          <cell r="EH118"/>
          <cell r="EI118"/>
          <cell r="EJ118"/>
          <cell r="EK118"/>
          <cell r="EL118"/>
          <cell r="EM118"/>
          <cell r="EN118"/>
          <cell r="EO118"/>
          <cell r="EP118"/>
          <cell r="EQ118"/>
          <cell r="ER118"/>
          <cell r="ES118"/>
          <cell r="ET118"/>
          <cell r="EU118"/>
          <cell r="EV118"/>
          <cell r="EW118"/>
          <cell r="EX118"/>
          <cell r="EY118"/>
          <cell r="EZ118"/>
          <cell r="FA118"/>
          <cell r="FB118"/>
          <cell r="FC118"/>
          <cell r="FD118"/>
          <cell r="FE118"/>
          <cell r="FF118"/>
          <cell r="FG118"/>
          <cell r="FH118"/>
          <cell r="FI118"/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>
            <v>1800</v>
          </cell>
          <cell r="BG119">
            <v>3600</v>
          </cell>
          <cell r="BH119">
            <v>5400</v>
          </cell>
          <cell r="BI119"/>
          <cell r="BJ119">
            <v>7200</v>
          </cell>
          <cell r="BK119">
            <v>7200</v>
          </cell>
          <cell r="BL119">
            <v>7200</v>
          </cell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K119"/>
          <cell r="DL119"/>
          <cell r="DM119"/>
          <cell r="DN119"/>
          <cell r="DO119"/>
          <cell r="DP119"/>
          <cell r="DQ119"/>
          <cell r="DR119"/>
          <cell r="DS119"/>
          <cell r="DT119"/>
          <cell r="DU119"/>
          <cell r="DV119"/>
          <cell r="DW119"/>
          <cell r="DX119"/>
          <cell r="DY119"/>
          <cell r="DZ119"/>
          <cell r="EA119"/>
          <cell r="EB119"/>
          <cell r="EC119"/>
          <cell r="ED119"/>
          <cell r="EE119"/>
          <cell r="EF119"/>
          <cell r="EG119"/>
          <cell r="EH119"/>
          <cell r="EI119"/>
          <cell r="EJ119"/>
          <cell r="EK119"/>
          <cell r="EL119"/>
          <cell r="EM119"/>
          <cell r="EN119"/>
          <cell r="EO119"/>
          <cell r="EP119"/>
          <cell r="EQ119"/>
          <cell r="ER119"/>
          <cell r="ES119"/>
          <cell r="ET119"/>
          <cell r="EU119"/>
          <cell r="EV119"/>
          <cell r="EW119"/>
          <cell r="EX119"/>
          <cell r="EY119"/>
          <cell r="EZ119"/>
          <cell r="FA119"/>
          <cell r="FB119"/>
          <cell r="FC119"/>
          <cell r="FD119"/>
          <cell r="FE119"/>
          <cell r="FF119"/>
          <cell r="FG119"/>
          <cell r="FH119"/>
          <cell r="FI119"/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B120"/>
          <cell r="BC120"/>
          <cell r="BD120"/>
          <cell r="BE120"/>
          <cell r="BF120"/>
          <cell r="BG120">
            <v>8000</v>
          </cell>
          <cell r="BH120">
            <v>10000</v>
          </cell>
          <cell r="BI120"/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/>
          <cell r="DM123"/>
          <cell r="DN123"/>
          <cell r="DO123"/>
          <cell r="DP123"/>
          <cell r="DQ123"/>
          <cell r="DR123"/>
          <cell r="DS123"/>
          <cell r="DT123"/>
          <cell r="DU123"/>
          <cell r="DV123"/>
          <cell r="DW123"/>
          <cell r="DX123"/>
          <cell r="DY123"/>
          <cell r="DZ123"/>
          <cell r="EA123"/>
          <cell r="EB123"/>
          <cell r="EC123"/>
          <cell r="ED123"/>
          <cell r="EE123"/>
          <cell r="EF123"/>
          <cell r="EG123"/>
          <cell r="EH123"/>
          <cell r="EI123"/>
          <cell r="EJ123"/>
          <cell r="EK123"/>
          <cell r="EL123"/>
          <cell r="EM123"/>
          <cell r="EN123"/>
          <cell r="EO123"/>
          <cell r="EP123"/>
          <cell r="EQ123"/>
          <cell r="ER123"/>
          <cell r="ES123"/>
          <cell r="ET123"/>
          <cell r="EU123"/>
          <cell r="EV123"/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/>
          <cell r="DM124"/>
          <cell r="DN124"/>
          <cell r="DO124"/>
          <cell r="DP124"/>
          <cell r="DQ124"/>
          <cell r="DR124"/>
          <cell r="DS124"/>
          <cell r="DT124"/>
          <cell r="DU124"/>
          <cell r="DV124"/>
          <cell r="DW124"/>
          <cell r="DX124"/>
          <cell r="DY124"/>
          <cell r="DZ124"/>
          <cell r="EA124"/>
          <cell r="EB124"/>
          <cell r="EC124"/>
          <cell r="ED124"/>
          <cell r="EE124"/>
          <cell r="EF124"/>
          <cell r="EG124"/>
          <cell r="EH124"/>
          <cell r="EI124"/>
          <cell r="EJ124"/>
          <cell r="EK124"/>
          <cell r="EL124"/>
          <cell r="EM124"/>
          <cell r="EN124"/>
          <cell r="EO124"/>
          <cell r="EP124"/>
          <cell r="EQ124"/>
          <cell r="ER124"/>
          <cell r="ES124"/>
          <cell r="ET124"/>
          <cell r="EU124"/>
          <cell r="EV124"/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BA137"/>
          <cell r="BB137"/>
          <cell r="BC137"/>
          <cell r="BD137"/>
          <cell r="BE137"/>
          <cell r="BF137"/>
          <cell r="BG137"/>
          <cell r="BH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K142"/>
          <cell r="DL142"/>
          <cell r="DM142"/>
          <cell r="DN142"/>
          <cell r="DO142"/>
          <cell r="DP142"/>
          <cell r="DQ142"/>
          <cell r="DR142"/>
          <cell r="DS142"/>
          <cell r="DT142"/>
          <cell r="DU142"/>
          <cell r="DV142"/>
          <cell r="DW142"/>
          <cell r="DX142"/>
          <cell r="DY142"/>
          <cell r="DZ142"/>
          <cell r="EA142"/>
          <cell r="EB142"/>
          <cell r="EC142"/>
          <cell r="ED142"/>
          <cell r="EE142"/>
          <cell r="EF142"/>
          <cell r="EG142"/>
          <cell r="EH142"/>
          <cell r="EI142"/>
          <cell r="EJ142"/>
          <cell r="EK142"/>
          <cell r="EL142"/>
          <cell r="EM142"/>
          <cell r="EN142"/>
          <cell r="EO142"/>
          <cell r="EP142"/>
          <cell r="EQ142"/>
          <cell r="ER142"/>
          <cell r="ES142"/>
          <cell r="ET142"/>
          <cell r="EU142"/>
          <cell r="EV142"/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K143"/>
          <cell r="DL143"/>
          <cell r="DM143"/>
          <cell r="DN143"/>
          <cell r="DO143"/>
          <cell r="DP143"/>
          <cell r="DQ143"/>
          <cell r="DR143"/>
          <cell r="DS143"/>
          <cell r="DT143"/>
          <cell r="DU143"/>
          <cell r="DV143"/>
          <cell r="DW143"/>
          <cell r="DX143"/>
          <cell r="DY143"/>
          <cell r="DZ143"/>
          <cell r="EA143"/>
          <cell r="EB143"/>
          <cell r="EC143"/>
          <cell r="ED143"/>
          <cell r="EE143"/>
          <cell r="EF143"/>
          <cell r="EG143"/>
          <cell r="EH143"/>
          <cell r="EI143"/>
          <cell r="EJ143"/>
          <cell r="EK143"/>
          <cell r="EL143"/>
          <cell r="EM143"/>
          <cell r="EN143"/>
          <cell r="EO143"/>
          <cell r="EP143"/>
          <cell r="EQ143"/>
          <cell r="ER143"/>
          <cell r="ES143"/>
          <cell r="ET143"/>
          <cell r="EU143"/>
          <cell r="EV143"/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K144"/>
          <cell r="DL144"/>
          <cell r="DM144"/>
          <cell r="DN144"/>
          <cell r="DO144"/>
          <cell r="DP144"/>
          <cell r="DQ144"/>
          <cell r="DR144"/>
          <cell r="DS144"/>
          <cell r="DT144"/>
          <cell r="DU144"/>
          <cell r="DV144"/>
          <cell r="DW144"/>
          <cell r="DX144"/>
          <cell r="DY144"/>
          <cell r="DZ144"/>
          <cell r="EA144"/>
          <cell r="EB144"/>
          <cell r="EC144"/>
          <cell r="ED144"/>
          <cell r="EE144"/>
          <cell r="EF144"/>
          <cell r="EG144"/>
          <cell r="EH144"/>
          <cell r="EI144"/>
          <cell r="EJ144"/>
          <cell r="EK144"/>
          <cell r="EL144"/>
          <cell r="EM144"/>
          <cell r="EN144"/>
          <cell r="EO144"/>
          <cell r="EP144"/>
          <cell r="EQ144"/>
          <cell r="ER144"/>
          <cell r="ES144"/>
          <cell r="ET144"/>
          <cell r="EU144"/>
          <cell r="EV144"/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K153"/>
          <cell r="DL153"/>
          <cell r="DM153"/>
          <cell r="DN153"/>
          <cell r="DO153"/>
          <cell r="DP153"/>
          <cell r="DQ153"/>
          <cell r="DR153"/>
          <cell r="DS153"/>
          <cell r="DT153"/>
          <cell r="DU153"/>
          <cell r="DV153"/>
          <cell r="DW153"/>
          <cell r="DX153"/>
          <cell r="DY153"/>
          <cell r="DZ153"/>
          <cell r="EA153"/>
          <cell r="EB153"/>
          <cell r="EC153"/>
          <cell r="ED153"/>
          <cell r="EE153"/>
          <cell r="EF153"/>
          <cell r="EG153"/>
          <cell r="EH153"/>
          <cell r="EI153"/>
          <cell r="EJ153"/>
          <cell r="EK153"/>
          <cell r="EL153"/>
          <cell r="EM153"/>
          <cell r="EN153"/>
          <cell r="EO153"/>
          <cell r="EP153"/>
          <cell r="EQ153"/>
          <cell r="ER153"/>
          <cell r="ES153"/>
          <cell r="ET153"/>
          <cell r="EU153"/>
          <cell r="EV153"/>
        </row>
        <row r="154">
          <cell r="S154" t="str">
            <v>COST TO DATE</v>
          </cell>
          <cell r="V154" t="str">
            <v>DIRECT TO DATE</v>
          </cell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K154"/>
          <cell r="DL154"/>
          <cell r="DM154"/>
          <cell r="DN154"/>
          <cell r="DO154"/>
          <cell r="DP154"/>
          <cell r="DQ154"/>
          <cell r="DR154"/>
          <cell r="DS154"/>
          <cell r="DT154"/>
          <cell r="DU154"/>
          <cell r="DV154"/>
          <cell r="DW154"/>
          <cell r="DX154"/>
          <cell r="DY154"/>
          <cell r="DZ154"/>
          <cell r="EA154"/>
          <cell r="EB154"/>
          <cell r="EC154"/>
          <cell r="ED154"/>
          <cell r="EE154"/>
          <cell r="EF154"/>
          <cell r="EG154"/>
          <cell r="EH154"/>
          <cell r="EI154"/>
          <cell r="EJ154"/>
          <cell r="EK154"/>
          <cell r="EL154"/>
          <cell r="EM154"/>
          <cell r="EN154"/>
          <cell r="EO154"/>
          <cell r="EP154"/>
          <cell r="EQ154"/>
          <cell r="ER154"/>
          <cell r="ES154"/>
          <cell r="ET154"/>
          <cell r="EU154"/>
          <cell r="EV154"/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/>
          <cell r="BE165"/>
          <cell r="BF165"/>
          <cell r="BG165"/>
          <cell r="BH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BD166"/>
          <cell r="BE166"/>
          <cell r="BF166"/>
          <cell r="BG166"/>
          <cell r="BH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K170"/>
          <cell r="DL170"/>
          <cell r="DM170"/>
          <cell r="DN170"/>
          <cell r="DO170"/>
          <cell r="DP170"/>
          <cell r="DQ170"/>
          <cell r="DR170"/>
          <cell r="DS170"/>
          <cell r="DT170"/>
          <cell r="DU170"/>
          <cell r="DV170"/>
          <cell r="DW170"/>
          <cell r="DX170"/>
          <cell r="DY170"/>
          <cell r="DZ170"/>
          <cell r="EA170"/>
          <cell r="EB170"/>
          <cell r="EC170"/>
          <cell r="ED170"/>
          <cell r="EE170"/>
          <cell r="EF170"/>
          <cell r="EG170"/>
          <cell r="EH170"/>
          <cell r="EI170"/>
          <cell r="EJ170"/>
          <cell r="EK170"/>
          <cell r="EL170"/>
          <cell r="EM170"/>
          <cell r="EN170"/>
          <cell r="EO170"/>
          <cell r="EP170"/>
          <cell r="EQ170"/>
          <cell r="ER170"/>
          <cell r="ES170"/>
          <cell r="ET170"/>
          <cell r="EU170"/>
          <cell r="EV170"/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K171"/>
          <cell r="DL171"/>
          <cell r="DM171"/>
          <cell r="DN171"/>
          <cell r="DO171"/>
          <cell r="DP171"/>
          <cell r="DQ171"/>
          <cell r="DR171"/>
          <cell r="DS171"/>
          <cell r="DT171"/>
          <cell r="DU171"/>
          <cell r="DV171"/>
          <cell r="DW171"/>
          <cell r="DX171"/>
          <cell r="DY171"/>
          <cell r="DZ171"/>
          <cell r="EA171"/>
          <cell r="EB171"/>
          <cell r="EC171"/>
          <cell r="ED171"/>
          <cell r="EE171"/>
          <cell r="EF171"/>
          <cell r="EG171"/>
          <cell r="EH171"/>
          <cell r="EI171"/>
          <cell r="EJ171"/>
          <cell r="EK171"/>
          <cell r="EL171"/>
          <cell r="EM171"/>
          <cell r="EN171"/>
          <cell r="EO171"/>
          <cell r="EP171"/>
          <cell r="EQ171"/>
          <cell r="ER171"/>
          <cell r="ES171"/>
          <cell r="ET171"/>
          <cell r="EU171"/>
          <cell r="EV171"/>
          <cell r="EW171"/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/>
          <cell r="BJ172"/>
          <cell r="BK172"/>
          <cell r="BL172"/>
          <cell r="BM172"/>
          <cell r="BN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K172"/>
          <cell r="DL172"/>
          <cell r="DM172"/>
          <cell r="DN172"/>
          <cell r="DO172"/>
          <cell r="DP172"/>
          <cell r="DQ172"/>
          <cell r="DR172"/>
          <cell r="DS172"/>
          <cell r="DT172"/>
          <cell r="DU172"/>
          <cell r="DV172"/>
          <cell r="DW172"/>
          <cell r="DX172"/>
          <cell r="DY172"/>
          <cell r="DZ172"/>
          <cell r="EA172"/>
          <cell r="EB172"/>
          <cell r="EC172"/>
          <cell r="ED172"/>
          <cell r="EE172"/>
          <cell r="EF172"/>
          <cell r="EG172"/>
          <cell r="EH172"/>
          <cell r="EI172"/>
          <cell r="EJ172"/>
          <cell r="EK172"/>
          <cell r="EL172"/>
          <cell r="EM172"/>
          <cell r="EN172"/>
          <cell r="EO172"/>
          <cell r="EP172"/>
          <cell r="EQ172"/>
          <cell r="ER172"/>
          <cell r="ES172"/>
          <cell r="ET172"/>
          <cell r="EU172"/>
          <cell r="EV172"/>
          <cell r="EW172"/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K182"/>
          <cell r="DL182"/>
          <cell r="DM182"/>
          <cell r="DN182"/>
          <cell r="DO182"/>
          <cell r="DP182"/>
          <cell r="DQ182"/>
          <cell r="DR182"/>
          <cell r="DS182"/>
          <cell r="DT182"/>
          <cell r="DU182"/>
          <cell r="DV182"/>
          <cell r="DW182"/>
          <cell r="DX182"/>
          <cell r="DY182"/>
          <cell r="DZ182"/>
          <cell r="EA182"/>
          <cell r="EB182"/>
          <cell r="EC182"/>
          <cell r="ED182"/>
          <cell r="EE182"/>
          <cell r="EF182"/>
          <cell r="EG182"/>
          <cell r="EH182"/>
          <cell r="EI182"/>
          <cell r="EJ182"/>
          <cell r="EK182"/>
          <cell r="EL182"/>
          <cell r="EM182"/>
          <cell r="EN182"/>
          <cell r="EO182"/>
          <cell r="EP182"/>
          <cell r="EQ182"/>
          <cell r="ER182"/>
          <cell r="ES182"/>
          <cell r="ET182"/>
          <cell r="EU182"/>
          <cell r="EV182"/>
          <cell r="EW182"/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K183"/>
          <cell r="DL183"/>
          <cell r="DM183"/>
          <cell r="DN183"/>
          <cell r="DO183"/>
          <cell r="DP183"/>
          <cell r="DQ183"/>
          <cell r="DR183"/>
          <cell r="DS183"/>
          <cell r="DT183"/>
          <cell r="DU183"/>
          <cell r="DV183"/>
          <cell r="DW183"/>
          <cell r="DX183"/>
          <cell r="DY183"/>
          <cell r="DZ183"/>
          <cell r="EA183"/>
          <cell r="EB183"/>
          <cell r="EC183"/>
          <cell r="ED183"/>
          <cell r="EE183"/>
          <cell r="EF183"/>
          <cell r="EG183"/>
          <cell r="EH183"/>
          <cell r="EI183"/>
          <cell r="EJ183"/>
          <cell r="EK183"/>
          <cell r="EL183"/>
          <cell r="EM183"/>
          <cell r="EN183"/>
          <cell r="EO183"/>
          <cell r="EP183"/>
          <cell r="EQ183"/>
          <cell r="ER183"/>
          <cell r="ES183"/>
          <cell r="ET183"/>
          <cell r="EU183"/>
          <cell r="EV183"/>
          <cell r="EW183"/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K184"/>
          <cell r="DL184"/>
          <cell r="DM184"/>
          <cell r="DN184"/>
          <cell r="DO184"/>
          <cell r="DP184"/>
          <cell r="DQ184"/>
          <cell r="DR184"/>
          <cell r="DS184"/>
          <cell r="DT184"/>
          <cell r="DU184"/>
          <cell r="DV184"/>
          <cell r="DW184"/>
          <cell r="DX184"/>
          <cell r="DY184"/>
          <cell r="DZ184"/>
          <cell r="EA184"/>
          <cell r="EB184"/>
          <cell r="EC184"/>
          <cell r="ED184"/>
          <cell r="EE184"/>
          <cell r="EF184"/>
          <cell r="EG184"/>
          <cell r="EH184"/>
          <cell r="EI184"/>
          <cell r="EJ184"/>
          <cell r="EK184"/>
          <cell r="EL184"/>
          <cell r="EM184"/>
          <cell r="EN184"/>
          <cell r="EO184"/>
          <cell r="EP184"/>
          <cell r="EQ184"/>
          <cell r="ER184"/>
          <cell r="ES184"/>
          <cell r="ET184"/>
          <cell r="EU184"/>
          <cell r="EV184"/>
          <cell r="EW184"/>
        </row>
        <row r="186">
          <cell r="T186" t="str">
            <v>BUDGET FORECAST</v>
          </cell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K186"/>
          <cell r="DL186"/>
          <cell r="DM186"/>
          <cell r="DN186"/>
          <cell r="DO186"/>
          <cell r="DP186"/>
          <cell r="DQ186"/>
          <cell r="DR186"/>
          <cell r="DS186"/>
          <cell r="DT186"/>
          <cell r="DU186"/>
          <cell r="DV186"/>
          <cell r="DW186"/>
          <cell r="DX186"/>
          <cell r="DY186"/>
          <cell r="DZ186"/>
          <cell r="EA186"/>
          <cell r="EB186"/>
          <cell r="EC186"/>
          <cell r="ED186"/>
          <cell r="EE186"/>
          <cell r="EF186"/>
          <cell r="EG186"/>
          <cell r="EH186"/>
          <cell r="EI186"/>
          <cell r="EJ186"/>
          <cell r="EK186"/>
          <cell r="EL186"/>
          <cell r="EM186"/>
          <cell r="EN186"/>
          <cell r="EO186"/>
          <cell r="EP186"/>
          <cell r="EQ186"/>
          <cell r="ER186"/>
          <cell r="ES186"/>
          <cell r="ET186"/>
          <cell r="EU186"/>
          <cell r="EV186"/>
          <cell r="EW186"/>
          <cell r="EX186"/>
          <cell r="EY186"/>
          <cell r="EZ186"/>
          <cell r="FA186"/>
          <cell r="FB186"/>
          <cell r="FC186"/>
          <cell r="FD186"/>
          <cell r="FE186"/>
          <cell r="FF186"/>
          <cell r="FG186"/>
          <cell r="FH186"/>
          <cell r="FI186"/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K187"/>
          <cell r="DL187"/>
          <cell r="DM187"/>
          <cell r="DN187"/>
          <cell r="DO187"/>
          <cell r="DP187"/>
          <cell r="DQ187"/>
          <cell r="DR187"/>
          <cell r="DS187"/>
          <cell r="DT187"/>
          <cell r="DU187"/>
          <cell r="DV187"/>
          <cell r="DW187"/>
          <cell r="DX187"/>
          <cell r="DY187"/>
          <cell r="DZ187"/>
          <cell r="EA187"/>
          <cell r="EB187"/>
          <cell r="EC187"/>
          <cell r="ED187"/>
          <cell r="EE187"/>
          <cell r="EF187"/>
          <cell r="EG187"/>
          <cell r="EH187"/>
          <cell r="EI187"/>
          <cell r="EJ187"/>
          <cell r="EK187"/>
          <cell r="EL187"/>
          <cell r="EM187"/>
          <cell r="EN187"/>
          <cell r="EO187"/>
          <cell r="EP187"/>
          <cell r="EQ187"/>
          <cell r="ER187"/>
          <cell r="ES187"/>
          <cell r="ET187"/>
          <cell r="EU187"/>
          <cell r="EV187"/>
          <cell r="EW187"/>
          <cell r="EX187"/>
          <cell r="EY187"/>
          <cell r="EZ187"/>
          <cell r="FA187"/>
          <cell r="FB187"/>
          <cell r="FC187"/>
          <cell r="FD187"/>
          <cell r="FE187"/>
          <cell r="FF187"/>
          <cell r="FG187"/>
          <cell r="FH187"/>
          <cell r="FI187"/>
        </row>
        <row r="188">
          <cell r="V188" t="str">
            <v>PRE PROD</v>
          </cell>
          <cell r="W188">
            <v>30</v>
          </cell>
          <cell r="X188">
            <v>97000</v>
          </cell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K188"/>
          <cell r="DL188"/>
          <cell r="DM188"/>
          <cell r="DN188"/>
          <cell r="DO188"/>
          <cell r="DP188"/>
          <cell r="DQ188"/>
          <cell r="DR188"/>
          <cell r="DS188"/>
          <cell r="DT188"/>
          <cell r="DU188"/>
          <cell r="DV188"/>
          <cell r="DW188"/>
          <cell r="DX188"/>
          <cell r="DY188"/>
          <cell r="DZ188"/>
          <cell r="EA188"/>
          <cell r="EB188"/>
          <cell r="EC188"/>
          <cell r="ED188"/>
          <cell r="EE188"/>
          <cell r="EF188"/>
          <cell r="EG188"/>
          <cell r="EH188"/>
          <cell r="EI188"/>
          <cell r="EJ188"/>
          <cell r="EK188"/>
          <cell r="EL188"/>
          <cell r="EM188"/>
          <cell r="EN188"/>
          <cell r="EO188"/>
          <cell r="EP188"/>
          <cell r="EQ188"/>
          <cell r="ER188"/>
          <cell r="ES188"/>
          <cell r="ET188"/>
          <cell r="EU188"/>
          <cell r="EV188"/>
          <cell r="EW188"/>
          <cell r="EX188"/>
          <cell r="EY188"/>
          <cell r="EZ188"/>
          <cell r="FA188"/>
          <cell r="FB188"/>
          <cell r="FC188"/>
          <cell r="FD188"/>
          <cell r="FE188"/>
          <cell r="FF188"/>
          <cell r="FG188"/>
          <cell r="FH188"/>
          <cell r="FI188"/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K189"/>
          <cell r="DL189"/>
          <cell r="DM189"/>
          <cell r="DN189"/>
          <cell r="DO189"/>
          <cell r="DP189"/>
          <cell r="DQ189"/>
          <cell r="DR189"/>
          <cell r="DS189"/>
          <cell r="DT189"/>
          <cell r="DU189"/>
          <cell r="DV189"/>
          <cell r="DW189"/>
          <cell r="DX189"/>
          <cell r="DY189"/>
          <cell r="DZ189"/>
          <cell r="EA189"/>
          <cell r="EB189"/>
          <cell r="EC189"/>
          <cell r="ED189"/>
          <cell r="EE189"/>
          <cell r="EF189"/>
          <cell r="EG189"/>
          <cell r="EH189"/>
          <cell r="EI189"/>
          <cell r="EJ189"/>
          <cell r="EK189"/>
          <cell r="EL189"/>
          <cell r="EM189"/>
          <cell r="EN189"/>
          <cell r="EO189"/>
          <cell r="EP189"/>
          <cell r="EQ189"/>
          <cell r="ER189"/>
          <cell r="ES189"/>
          <cell r="ET189"/>
          <cell r="EU189"/>
          <cell r="EV189"/>
          <cell r="EW189"/>
          <cell r="EX189"/>
          <cell r="EY189"/>
          <cell r="EZ189"/>
          <cell r="FA189"/>
          <cell r="FB189"/>
          <cell r="FC189"/>
          <cell r="FD189"/>
          <cell r="FE189"/>
          <cell r="FF189"/>
          <cell r="FG189"/>
          <cell r="FH189"/>
          <cell r="FI189"/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K190"/>
          <cell r="DL190"/>
          <cell r="DM190"/>
          <cell r="DN190"/>
          <cell r="DO190"/>
          <cell r="DP190"/>
          <cell r="DQ190"/>
          <cell r="DR190"/>
          <cell r="DS190"/>
          <cell r="DT190"/>
          <cell r="DU190"/>
          <cell r="DV190"/>
          <cell r="DW190"/>
          <cell r="DX190"/>
          <cell r="DY190"/>
          <cell r="DZ190"/>
          <cell r="EA190"/>
          <cell r="EB190"/>
          <cell r="EC190"/>
          <cell r="ED190"/>
          <cell r="EE190"/>
          <cell r="EF190"/>
          <cell r="EG190"/>
          <cell r="EH190"/>
          <cell r="EI190"/>
          <cell r="EJ190"/>
          <cell r="EK190"/>
          <cell r="EL190"/>
          <cell r="EM190"/>
          <cell r="EN190"/>
          <cell r="EO190"/>
          <cell r="EP190"/>
          <cell r="EQ190"/>
          <cell r="ER190"/>
          <cell r="ES190"/>
          <cell r="ET190"/>
          <cell r="EU190"/>
          <cell r="EV190"/>
          <cell r="EW190"/>
          <cell r="EX190"/>
          <cell r="EY190"/>
          <cell r="EZ190"/>
          <cell r="FA190"/>
          <cell r="FB190"/>
          <cell r="FC190"/>
          <cell r="FD190"/>
          <cell r="FE190"/>
          <cell r="FF190"/>
          <cell r="FG190"/>
          <cell r="FH190"/>
          <cell r="FI190"/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K191"/>
          <cell r="DL191"/>
          <cell r="DM191"/>
          <cell r="DN191"/>
          <cell r="DO191"/>
          <cell r="DP191"/>
          <cell r="DQ191"/>
          <cell r="DR191"/>
          <cell r="DS191"/>
          <cell r="DT191"/>
          <cell r="DU191"/>
          <cell r="DV191"/>
          <cell r="DW191"/>
          <cell r="DX191"/>
          <cell r="DY191"/>
          <cell r="DZ191"/>
          <cell r="EA191"/>
          <cell r="EB191"/>
          <cell r="EC191"/>
          <cell r="ED191"/>
          <cell r="EE191"/>
          <cell r="EF191"/>
          <cell r="EG191"/>
          <cell r="EH191"/>
          <cell r="EI191"/>
          <cell r="EJ191"/>
          <cell r="EK191"/>
          <cell r="EL191"/>
          <cell r="EM191"/>
          <cell r="EN191"/>
          <cell r="EO191"/>
          <cell r="EP191"/>
          <cell r="EQ191"/>
          <cell r="ER191"/>
          <cell r="ES191"/>
          <cell r="ET191"/>
          <cell r="EU191"/>
          <cell r="EV191"/>
          <cell r="EW191"/>
          <cell r="EX191"/>
          <cell r="EY191"/>
          <cell r="EZ191"/>
          <cell r="FA191"/>
          <cell r="FB191"/>
          <cell r="FC191"/>
          <cell r="FD191"/>
          <cell r="FE191"/>
          <cell r="FF191"/>
          <cell r="FG191"/>
          <cell r="FH191"/>
          <cell r="FI191"/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K192"/>
          <cell r="DL192"/>
          <cell r="DM192"/>
          <cell r="DN192"/>
          <cell r="DO192"/>
          <cell r="DP192"/>
          <cell r="DQ192"/>
          <cell r="DR192"/>
          <cell r="DS192"/>
          <cell r="DT192"/>
          <cell r="DU192"/>
          <cell r="DV192"/>
          <cell r="DW192"/>
          <cell r="DX192"/>
          <cell r="DY192"/>
          <cell r="DZ192"/>
          <cell r="EA192"/>
          <cell r="EB192"/>
          <cell r="EC192"/>
          <cell r="ED192"/>
          <cell r="EE192"/>
          <cell r="EF192"/>
          <cell r="EG192"/>
          <cell r="EH192"/>
          <cell r="EI192"/>
          <cell r="EJ192"/>
          <cell r="EK192"/>
          <cell r="EL192"/>
          <cell r="EM192"/>
          <cell r="EN192"/>
          <cell r="EO192"/>
          <cell r="EP192"/>
          <cell r="EQ192"/>
          <cell r="ER192"/>
          <cell r="ES192"/>
          <cell r="ET192"/>
          <cell r="EU192"/>
          <cell r="EV192"/>
          <cell r="EW192"/>
          <cell r="EX192"/>
          <cell r="EY192"/>
          <cell r="EZ192"/>
          <cell r="FA192"/>
          <cell r="FB192"/>
          <cell r="FC192"/>
          <cell r="FD192"/>
          <cell r="FE192"/>
          <cell r="FF192"/>
          <cell r="FG192"/>
          <cell r="FH192"/>
          <cell r="FI192"/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J196"/>
          <cell r="BK196"/>
          <cell r="BT196">
            <v>35870</v>
          </cell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K196"/>
          <cell r="DL196"/>
          <cell r="DM196"/>
          <cell r="DN196"/>
          <cell r="DO196"/>
          <cell r="DP196"/>
          <cell r="DQ196"/>
          <cell r="DR196"/>
          <cell r="DS196"/>
          <cell r="DT196"/>
          <cell r="DU196"/>
          <cell r="DV196"/>
          <cell r="DW196"/>
          <cell r="DX196"/>
          <cell r="DY196"/>
          <cell r="DZ196"/>
          <cell r="EA196"/>
          <cell r="EB196"/>
          <cell r="EC196"/>
          <cell r="ED196"/>
          <cell r="EE196"/>
          <cell r="EF196"/>
          <cell r="EG196"/>
          <cell r="EH196"/>
          <cell r="EI196"/>
          <cell r="EJ196"/>
          <cell r="EK196"/>
          <cell r="EL196"/>
          <cell r="EM196"/>
          <cell r="EN196"/>
          <cell r="EO196"/>
          <cell r="EP196"/>
          <cell r="EQ196"/>
          <cell r="ER196"/>
          <cell r="ES196"/>
          <cell r="ET196"/>
          <cell r="EU196"/>
          <cell r="EV196"/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J197"/>
          <cell r="BK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K197"/>
          <cell r="DL197"/>
          <cell r="DM197"/>
          <cell r="DN197"/>
          <cell r="DO197"/>
          <cell r="DP197"/>
          <cell r="DQ197"/>
          <cell r="DR197"/>
          <cell r="DS197"/>
          <cell r="DT197"/>
          <cell r="DU197"/>
          <cell r="DV197"/>
          <cell r="DW197"/>
          <cell r="DX197"/>
          <cell r="DY197"/>
          <cell r="DZ197"/>
          <cell r="EA197"/>
          <cell r="EB197"/>
          <cell r="EC197"/>
          <cell r="ED197"/>
          <cell r="EE197"/>
          <cell r="EF197"/>
          <cell r="EG197"/>
          <cell r="EH197"/>
          <cell r="EI197"/>
          <cell r="EJ197"/>
          <cell r="EK197"/>
          <cell r="EL197"/>
          <cell r="EM197"/>
          <cell r="EN197"/>
          <cell r="EO197"/>
          <cell r="EP197"/>
          <cell r="EQ197"/>
          <cell r="ER197"/>
          <cell r="ES197"/>
          <cell r="ET197"/>
          <cell r="EU197"/>
          <cell r="EV197"/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K211"/>
          <cell r="DL211"/>
          <cell r="DM211"/>
          <cell r="DN211"/>
          <cell r="DO211"/>
          <cell r="DP211"/>
          <cell r="DQ211"/>
          <cell r="DR211"/>
          <cell r="DS211"/>
          <cell r="DT211"/>
          <cell r="DU211"/>
          <cell r="DV211"/>
          <cell r="DW211"/>
          <cell r="DX211"/>
          <cell r="DY211"/>
          <cell r="DZ211"/>
          <cell r="EA211"/>
          <cell r="EB211"/>
          <cell r="EC211"/>
          <cell r="ED211"/>
          <cell r="EE211"/>
          <cell r="EF211"/>
          <cell r="EG211"/>
          <cell r="EH211"/>
          <cell r="EI211"/>
          <cell r="EJ211"/>
          <cell r="EK211"/>
          <cell r="EL211"/>
          <cell r="EM211"/>
          <cell r="EN211"/>
          <cell r="EO211"/>
          <cell r="EP211"/>
          <cell r="EQ211"/>
          <cell r="ER211"/>
          <cell r="ES211"/>
          <cell r="ET211"/>
          <cell r="EU211"/>
          <cell r="EV211"/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K212"/>
          <cell r="DL212"/>
          <cell r="DM212"/>
          <cell r="DN212"/>
          <cell r="DO212"/>
          <cell r="DP212"/>
          <cell r="DQ212"/>
          <cell r="DR212"/>
          <cell r="DS212"/>
          <cell r="DT212"/>
          <cell r="DU212"/>
          <cell r="DV212"/>
          <cell r="DW212"/>
          <cell r="DX212"/>
          <cell r="DY212"/>
          <cell r="DZ212"/>
          <cell r="EA212"/>
          <cell r="EB212"/>
          <cell r="EC212"/>
          <cell r="ED212"/>
          <cell r="EE212"/>
          <cell r="EF212"/>
          <cell r="EG212"/>
          <cell r="EH212"/>
          <cell r="EI212"/>
          <cell r="EJ212"/>
          <cell r="EK212"/>
          <cell r="EL212"/>
          <cell r="EM212"/>
          <cell r="EN212"/>
          <cell r="EO212"/>
          <cell r="EP212"/>
          <cell r="EQ212"/>
          <cell r="ER212"/>
          <cell r="ES212"/>
          <cell r="ET212"/>
          <cell r="EU212"/>
          <cell r="EV212"/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K213"/>
          <cell r="DL213"/>
          <cell r="DM213"/>
          <cell r="DN213"/>
          <cell r="DO213"/>
          <cell r="DP213"/>
          <cell r="DQ213"/>
          <cell r="DR213"/>
          <cell r="DS213"/>
          <cell r="DT213"/>
          <cell r="DU213"/>
          <cell r="DV213"/>
          <cell r="DW213"/>
          <cell r="DX213"/>
          <cell r="DY213"/>
          <cell r="DZ213"/>
          <cell r="EA213"/>
          <cell r="EB213"/>
          <cell r="EC213"/>
          <cell r="ED213"/>
          <cell r="EE213"/>
          <cell r="EF213"/>
          <cell r="EG213"/>
          <cell r="EH213"/>
          <cell r="EI213"/>
          <cell r="EJ213"/>
          <cell r="EK213"/>
          <cell r="EL213"/>
          <cell r="EM213"/>
          <cell r="EN213"/>
          <cell r="EO213"/>
          <cell r="EP213"/>
          <cell r="EQ213"/>
          <cell r="ER213"/>
          <cell r="ES213"/>
          <cell r="ET213"/>
          <cell r="EU213"/>
          <cell r="EV213"/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K214"/>
          <cell r="DL214"/>
          <cell r="DM214"/>
          <cell r="DN214"/>
          <cell r="DO214"/>
          <cell r="DP214"/>
          <cell r="DQ214"/>
          <cell r="DR214"/>
          <cell r="DS214"/>
          <cell r="DT214"/>
          <cell r="DU214"/>
          <cell r="DV214"/>
          <cell r="DW214"/>
          <cell r="DX214"/>
          <cell r="DY214"/>
          <cell r="DZ214"/>
          <cell r="EA214"/>
          <cell r="EB214"/>
          <cell r="EC214"/>
          <cell r="ED214"/>
          <cell r="EE214"/>
          <cell r="EF214"/>
          <cell r="EG214"/>
          <cell r="EH214"/>
          <cell r="EI214"/>
          <cell r="EJ214"/>
          <cell r="EK214"/>
          <cell r="EL214"/>
          <cell r="EM214"/>
          <cell r="EN214"/>
          <cell r="EO214"/>
          <cell r="EP214"/>
          <cell r="EQ214"/>
          <cell r="ER214"/>
          <cell r="ES214"/>
          <cell r="ET214"/>
          <cell r="EU214"/>
          <cell r="EV214"/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K215"/>
          <cell r="DL215"/>
          <cell r="DM215"/>
          <cell r="DN215"/>
          <cell r="DO215"/>
          <cell r="DP215"/>
          <cell r="DQ215"/>
          <cell r="DR215"/>
          <cell r="DS215"/>
          <cell r="DT215"/>
          <cell r="DU215"/>
          <cell r="DV215"/>
          <cell r="DW215"/>
          <cell r="DX215"/>
          <cell r="DY215"/>
          <cell r="DZ215"/>
          <cell r="EA215"/>
          <cell r="EB215"/>
          <cell r="EC215"/>
          <cell r="ED215"/>
          <cell r="EE215"/>
          <cell r="EF215"/>
          <cell r="EG215"/>
          <cell r="EH215"/>
          <cell r="EI215"/>
          <cell r="EJ215"/>
          <cell r="EK215"/>
          <cell r="EL215"/>
          <cell r="EM215"/>
          <cell r="EN215"/>
          <cell r="EO215"/>
          <cell r="EP215"/>
          <cell r="EQ215"/>
          <cell r="ER215"/>
          <cell r="ES215"/>
          <cell r="ET215"/>
          <cell r="EU215"/>
          <cell r="EV215"/>
        </row>
        <row r="217">
          <cell r="T217" t="str">
            <v>BUDGET FORECAST</v>
          </cell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K217"/>
          <cell r="DL217"/>
          <cell r="DM217"/>
          <cell r="DN217"/>
          <cell r="DO217"/>
          <cell r="DP217"/>
          <cell r="DQ217"/>
          <cell r="DR217"/>
          <cell r="DS217"/>
          <cell r="DT217"/>
          <cell r="DU217"/>
          <cell r="DV217"/>
          <cell r="DW217"/>
          <cell r="DX217"/>
          <cell r="DY217"/>
          <cell r="DZ217"/>
          <cell r="EA217"/>
          <cell r="EB217"/>
          <cell r="EC217"/>
          <cell r="ED217"/>
          <cell r="EE217"/>
          <cell r="EF217"/>
          <cell r="EG217"/>
          <cell r="EH217"/>
          <cell r="EI217"/>
          <cell r="EJ217"/>
          <cell r="EK217"/>
          <cell r="EL217"/>
          <cell r="EM217"/>
          <cell r="EN217"/>
          <cell r="EO217"/>
          <cell r="EP217"/>
          <cell r="EQ217"/>
          <cell r="ER217"/>
          <cell r="ES217"/>
          <cell r="ET217"/>
          <cell r="EU217"/>
          <cell r="EV217"/>
          <cell r="EW217"/>
          <cell r="EX217"/>
          <cell r="EY217"/>
          <cell r="EZ217"/>
          <cell r="FA217"/>
          <cell r="FB217"/>
          <cell r="FC217"/>
          <cell r="FD217"/>
          <cell r="FE217"/>
          <cell r="FF217"/>
          <cell r="FG217"/>
          <cell r="FH217"/>
          <cell r="FI217"/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K218"/>
          <cell r="DL218"/>
          <cell r="DM218"/>
          <cell r="DN218"/>
          <cell r="DO218"/>
          <cell r="DP218"/>
          <cell r="DQ218"/>
          <cell r="DR218"/>
          <cell r="DS218"/>
          <cell r="DT218"/>
          <cell r="DU218"/>
          <cell r="DV218"/>
          <cell r="DW218"/>
          <cell r="DX218"/>
          <cell r="DY218"/>
          <cell r="DZ218"/>
          <cell r="EA218"/>
          <cell r="EB218"/>
          <cell r="EC218"/>
          <cell r="ED218"/>
          <cell r="EE218"/>
          <cell r="EF218"/>
          <cell r="EG218"/>
          <cell r="EH218"/>
          <cell r="EI218"/>
          <cell r="EJ218"/>
          <cell r="EK218"/>
          <cell r="EL218"/>
          <cell r="EM218"/>
          <cell r="EN218"/>
          <cell r="EO218"/>
          <cell r="EP218"/>
          <cell r="EQ218"/>
          <cell r="ER218"/>
          <cell r="ES218"/>
          <cell r="ET218"/>
          <cell r="EU218"/>
          <cell r="EV218"/>
          <cell r="EW218"/>
          <cell r="EX218"/>
          <cell r="EY218"/>
          <cell r="EZ218"/>
          <cell r="FA218"/>
          <cell r="FB218"/>
          <cell r="FC218"/>
          <cell r="FD218"/>
          <cell r="FE218"/>
          <cell r="FF218"/>
          <cell r="FG218"/>
          <cell r="FH218"/>
          <cell r="FI218"/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K219"/>
          <cell r="DL219"/>
          <cell r="DM219"/>
          <cell r="DN219"/>
          <cell r="DO219"/>
          <cell r="DP219"/>
          <cell r="DQ219"/>
          <cell r="DR219"/>
          <cell r="DS219"/>
          <cell r="DT219"/>
          <cell r="DU219"/>
          <cell r="DV219"/>
          <cell r="DW219"/>
          <cell r="DX219"/>
          <cell r="DY219"/>
          <cell r="DZ219"/>
          <cell r="EA219"/>
          <cell r="EB219"/>
          <cell r="EC219"/>
          <cell r="ED219"/>
          <cell r="EE219"/>
          <cell r="EF219"/>
          <cell r="EG219"/>
          <cell r="EH219"/>
          <cell r="EI219"/>
          <cell r="EJ219"/>
          <cell r="EK219"/>
          <cell r="EL219"/>
          <cell r="EM219"/>
          <cell r="EN219"/>
          <cell r="EO219"/>
          <cell r="EP219"/>
          <cell r="EQ219"/>
          <cell r="ER219"/>
          <cell r="ES219"/>
          <cell r="ET219"/>
          <cell r="EU219"/>
          <cell r="EV219"/>
          <cell r="EW219"/>
          <cell r="EX219"/>
          <cell r="EY219"/>
          <cell r="EZ219"/>
          <cell r="FA219"/>
          <cell r="FB219"/>
          <cell r="FC219"/>
          <cell r="FD219"/>
          <cell r="FE219"/>
          <cell r="FF219"/>
          <cell r="FG219"/>
          <cell r="FH219"/>
          <cell r="FI219"/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K220"/>
          <cell r="DL220"/>
          <cell r="DM220"/>
          <cell r="DN220"/>
          <cell r="DO220"/>
          <cell r="DP220"/>
          <cell r="DQ220"/>
          <cell r="DR220"/>
          <cell r="DS220"/>
          <cell r="DT220"/>
          <cell r="DU220"/>
          <cell r="DV220"/>
          <cell r="DW220"/>
          <cell r="DX220"/>
          <cell r="DY220"/>
          <cell r="DZ220"/>
          <cell r="EA220"/>
          <cell r="EB220"/>
          <cell r="EC220"/>
          <cell r="ED220"/>
          <cell r="EE220"/>
          <cell r="EF220"/>
          <cell r="EG220"/>
          <cell r="EH220"/>
          <cell r="EI220"/>
          <cell r="EJ220"/>
          <cell r="EK220"/>
          <cell r="EL220"/>
          <cell r="EM220"/>
          <cell r="EN220"/>
          <cell r="EO220"/>
          <cell r="EP220"/>
          <cell r="EQ220"/>
          <cell r="ER220"/>
          <cell r="ES220"/>
          <cell r="ET220"/>
          <cell r="EU220"/>
          <cell r="EV220"/>
          <cell r="EW220"/>
          <cell r="EX220"/>
          <cell r="EY220"/>
          <cell r="EZ220"/>
          <cell r="FA220"/>
          <cell r="FB220"/>
          <cell r="FC220"/>
          <cell r="FD220"/>
          <cell r="FE220"/>
          <cell r="FF220"/>
          <cell r="FG220"/>
          <cell r="FH220"/>
          <cell r="FI220"/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K221"/>
          <cell r="DL221"/>
          <cell r="DM221"/>
          <cell r="DN221"/>
          <cell r="DO221"/>
          <cell r="DP221"/>
          <cell r="DQ221"/>
          <cell r="DR221"/>
          <cell r="DS221"/>
          <cell r="DT221"/>
          <cell r="DU221"/>
          <cell r="DV221"/>
          <cell r="DW221"/>
          <cell r="DX221"/>
          <cell r="DY221"/>
          <cell r="DZ221"/>
          <cell r="EA221"/>
          <cell r="EB221"/>
          <cell r="EC221"/>
          <cell r="ED221"/>
          <cell r="EE221"/>
          <cell r="EF221"/>
          <cell r="EG221"/>
          <cell r="EH221"/>
          <cell r="EI221"/>
          <cell r="EJ221"/>
          <cell r="EK221"/>
          <cell r="EL221"/>
          <cell r="EM221"/>
          <cell r="EN221"/>
          <cell r="EO221"/>
          <cell r="EP221"/>
          <cell r="EQ221"/>
          <cell r="ER221"/>
          <cell r="ES221"/>
          <cell r="ET221"/>
          <cell r="EU221"/>
          <cell r="EV221"/>
          <cell r="EW221"/>
          <cell r="EX221"/>
          <cell r="EY221"/>
          <cell r="EZ221"/>
          <cell r="FA221"/>
          <cell r="FB221"/>
          <cell r="FC221"/>
          <cell r="FD221"/>
          <cell r="FE221"/>
          <cell r="FF221"/>
          <cell r="FG221"/>
          <cell r="FH221"/>
          <cell r="FI221"/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K222"/>
          <cell r="DL222"/>
          <cell r="DM222"/>
          <cell r="DN222"/>
          <cell r="DO222"/>
          <cell r="DP222"/>
          <cell r="DQ222"/>
          <cell r="DR222"/>
          <cell r="DS222"/>
          <cell r="DT222"/>
          <cell r="DU222"/>
          <cell r="DV222"/>
          <cell r="DW222"/>
          <cell r="DX222"/>
          <cell r="DY222"/>
          <cell r="DZ222"/>
          <cell r="EA222"/>
          <cell r="EB222"/>
          <cell r="EC222"/>
          <cell r="ED222"/>
          <cell r="EE222"/>
          <cell r="EF222"/>
          <cell r="EG222"/>
          <cell r="EH222"/>
          <cell r="EI222"/>
          <cell r="EJ222"/>
          <cell r="EK222"/>
          <cell r="EL222"/>
          <cell r="EM222"/>
          <cell r="EN222"/>
          <cell r="EO222"/>
          <cell r="EP222"/>
          <cell r="EQ222"/>
          <cell r="ER222"/>
          <cell r="ES222"/>
          <cell r="ET222"/>
          <cell r="EU222"/>
          <cell r="EV222"/>
          <cell r="EW222"/>
          <cell r="EX222"/>
          <cell r="EY222"/>
          <cell r="EZ222"/>
          <cell r="FA222"/>
          <cell r="FB222"/>
          <cell r="FC222"/>
          <cell r="FD222"/>
          <cell r="FE222"/>
          <cell r="FF222"/>
          <cell r="FG222"/>
          <cell r="FH222"/>
          <cell r="FI222"/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K223"/>
          <cell r="DL223"/>
          <cell r="DM223"/>
          <cell r="DN223"/>
          <cell r="DO223"/>
          <cell r="DP223"/>
          <cell r="DQ223"/>
          <cell r="DR223"/>
          <cell r="DS223"/>
          <cell r="DT223"/>
          <cell r="DU223"/>
          <cell r="DV223"/>
          <cell r="DW223"/>
          <cell r="DX223"/>
          <cell r="DY223"/>
          <cell r="DZ223"/>
          <cell r="EA223"/>
          <cell r="EB223"/>
          <cell r="EC223"/>
          <cell r="ED223"/>
          <cell r="EE223"/>
          <cell r="EF223"/>
          <cell r="EG223"/>
          <cell r="EH223"/>
          <cell r="EI223"/>
          <cell r="EJ223"/>
          <cell r="EK223"/>
          <cell r="EL223"/>
          <cell r="EM223"/>
          <cell r="EN223"/>
          <cell r="EO223"/>
          <cell r="EP223"/>
          <cell r="EQ223"/>
          <cell r="ER223"/>
          <cell r="ES223"/>
          <cell r="ET223"/>
          <cell r="EU223"/>
          <cell r="EV223"/>
          <cell r="EW223"/>
          <cell r="EX223"/>
          <cell r="EY223"/>
          <cell r="EZ223"/>
          <cell r="FA223"/>
          <cell r="FB223"/>
          <cell r="FC223"/>
          <cell r="FD223"/>
          <cell r="FE223"/>
          <cell r="FF223"/>
          <cell r="FG223"/>
          <cell r="FH223"/>
          <cell r="FI223"/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K228"/>
          <cell r="DL228"/>
          <cell r="DM228"/>
          <cell r="DN228"/>
          <cell r="DO228"/>
          <cell r="DP228"/>
          <cell r="DQ228"/>
          <cell r="DR228"/>
          <cell r="DS228"/>
          <cell r="DT228"/>
          <cell r="DU228"/>
          <cell r="DV228"/>
          <cell r="DW228"/>
          <cell r="DX228"/>
          <cell r="DY228"/>
          <cell r="DZ228"/>
          <cell r="EA228"/>
          <cell r="EB228"/>
          <cell r="EC228"/>
          <cell r="ED228"/>
          <cell r="EE228"/>
          <cell r="EF228"/>
          <cell r="EG228"/>
          <cell r="EH228"/>
          <cell r="EI228"/>
          <cell r="EJ228"/>
          <cell r="EK228"/>
          <cell r="EL228"/>
          <cell r="EM228"/>
          <cell r="EN228"/>
          <cell r="EO228"/>
          <cell r="EP228"/>
          <cell r="EQ228"/>
          <cell r="ER228"/>
          <cell r="ES228"/>
          <cell r="ET228"/>
          <cell r="EU228"/>
          <cell r="EV228"/>
        </row>
        <row r="229">
          <cell r="V229" t="str">
            <v>PROJECTED STREET</v>
          </cell>
          <cell r="X229">
            <v>36122.220141999998</v>
          </cell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K229"/>
          <cell r="DL229"/>
          <cell r="DM229"/>
          <cell r="DN229"/>
          <cell r="DO229"/>
          <cell r="DP229"/>
          <cell r="DQ229"/>
          <cell r="DR229"/>
          <cell r="DS229"/>
          <cell r="DT229"/>
          <cell r="DU229"/>
          <cell r="DV229"/>
          <cell r="DW229"/>
          <cell r="DX229"/>
          <cell r="DY229"/>
          <cell r="DZ229"/>
          <cell r="EA229"/>
          <cell r="EB229"/>
          <cell r="EC229"/>
          <cell r="ED229"/>
          <cell r="EE229"/>
          <cell r="EF229"/>
          <cell r="EG229"/>
          <cell r="EH229"/>
          <cell r="EI229"/>
          <cell r="EJ229"/>
          <cell r="EK229"/>
          <cell r="EL229"/>
          <cell r="EM229"/>
          <cell r="EN229"/>
          <cell r="EO229"/>
          <cell r="EP229"/>
          <cell r="EQ229"/>
          <cell r="ER229"/>
          <cell r="ES229"/>
          <cell r="ET229"/>
          <cell r="EU229"/>
          <cell r="EV229"/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K232"/>
          <cell r="DL232"/>
          <cell r="DM232"/>
          <cell r="DN232"/>
          <cell r="DO232"/>
          <cell r="DP232"/>
          <cell r="DQ232"/>
          <cell r="DR232"/>
          <cell r="DS232"/>
          <cell r="DT232"/>
          <cell r="DU232"/>
          <cell r="DV232"/>
          <cell r="DW232"/>
          <cell r="DX232"/>
          <cell r="DY232"/>
          <cell r="DZ232"/>
          <cell r="EA232"/>
          <cell r="EB232"/>
          <cell r="EC232"/>
          <cell r="ED232"/>
          <cell r="EE232"/>
          <cell r="EF232"/>
          <cell r="EG232"/>
          <cell r="EH232"/>
          <cell r="EI232"/>
          <cell r="EJ232"/>
          <cell r="EK232"/>
          <cell r="EL232"/>
          <cell r="EM232"/>
          <cell r="EN232"/>
          <cell r="EO232"/>
          <cell r="EP232"/>
          <cell r="EQ232"/>
          <cell r="ER232"/>
          <cell r="ES232"/>
          <cell r="ET232"/>
          <cell r="EU232"/>
          <cell r="EV232"/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K233"/>
          <cell r="DL233"/>
          <cell r="DM233"/>
          <cell r="DN233"/>
          <cell r="DO233"/>
          <cell r="DP233"/>
          <cell r="DQ233"/>
          <cell r="DR233"/>
          <cell r="DS233"/>
          <cell r="DT233"/>
          <cell r="DU233"/>
          <cell r="DV233"/>
          <cell r="DW233"/>
          <cell r="DX233"/>
          <cell r="DY233"/>
          <cell r="DZ233"/>
          <cell r="EA233"/>
          <cell r="EB233"/>
          <cell r="EC233"/>
          <cell r="ED233"/>
          <cell r="EE233"/>
          <cell r="EF233"/>
          <cell r="EG233"/>
          <cell r="EH233"/>
          <cell r="EI233"/>
          <cell r="EJ233"/>
          <cell r="EK233"/>
          <cell r="EL233"/>
          <cell r="EM233"/>
          <cell r="EN233"/>
          <cell r="EO233"/>
          <cell r="EP233"/>
          <cell r="EQ233"/>
          <cell r="ER233"/>
          <cell r="ES233"/>
          <cell r="ET233"/>
          <cell r="EU233"/>
          <cell r="EV233"/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K234"/>
          <cell r="DL234"/>
          <cell r="DM234"/>
          <cell r="DN234"/>
          <cell r="DO234"/>
          <cell r="DP234"/>
          <cell r="DQ234"/>
          <cell r="DR234"/>
          <cell r="DS234"/>
          <cell r="DT234"/>
          <cell r="DU234"/>
          <cell r="DV234"/>
          <cell r="DW234"/>
          <cell r="DX234"/>
          <cell r="DY234"/>
          <cell r="DZ234"/>
          <cell r="EA234"/>
          <cell r="EB234"/>
          <cell r="EC234"/>
          <cell r="ED234"/>
          <cell r="EE234"/>
          <cell r="EF234"/>
          <cell r="EG234"/>
          <cell r="EH234"/>
          <cell r="EI234"/>
          <cell r="EJ234"/>
          <cell r="EK234"/>
          <cell r="EL234"/>
          <cell r="EM234"/>
          <cell r="EN234"/>
          <cell r="EO234"/>
          <cell r="EP234"/>
          <cell r="EQ234"/>
          <cell r="ER234"/>
          <cell r="ES234"/>
          <cell r="ET234"/>
          <cell r="EU234"/>
          <cell r="EV234"/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K235"/>
          <cell r="DL235"/>
          <cell r="DM235"/>
          <cell r="DN235"/>
          <cell r="DO235"/>
          <cell r="DP235"/>
          <cell r="DQ235"/>
          <cell r="DR235"/>
          <cell r="DS235"/>
          <cell r="DT235"/>
          <cell r="DU235"/>
          <cell r="DV235"/>
          <cell r="DW235"/>
          <cell r="DX235"/>
          <cell r="DY235"/>
          <cell r="DZ235"/>
          <cell r="EA235"/>
          <cell r="EB235"/>
          <cell r="EC235"/>
          <cell r="ED235"/>
          <cell r="EE235"/>
          <cell r="EF235"/>
          <cell r="EG235"/>
          <cell r="EH235"/>
          <cell r="EI235"/>
          <cell r="EJ235"/>
          <cell r="EK235"/>
          <cell r="EL235"/>
          <cell r="EM235"/>
          <cell r="EN235"/>
          <cell r="EO235"/>
          <cell r="EP235"/>
          <cell r="EQ235"/>
          <cell r="ER235"/>
          <cell r="ES235"/>
          <cell r="ET235"/>
          <cell r="EU235"/>
          <cell r="EV235"/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K236"/>
          <cell r="DL236"/>
          <cell r="DM236"/>
          <cell r="DN236"/>
          <cell r="DO236"/>
          <cell r="DP236"/>
          <cell r="DQ236"/>
          <cell r="DR236"/>
          <cell r="DS236"/>
          <cell r="DT236"/>
          <cell r="DU236"/>
          <cell r="DV236"/>
          <cell r="DW236"/>
          <cell r="DX236"/>
          <cell r="DY236"/>
          <cell r="DZ236"/>
          <cell r="EA236"/>
          <cell r="EB236"/>
          <cell r="EC236"/>
          <cell r="ED236"/>
          <cell r="EE236"/>
          <cell r="EF236"/>
          <cell r="EG236"/>
          <cell r="EH236"/>
          <cell r="EI236"/>
          <cell r="EJ236"/>
          <cell r="EK236"/>
          <cell r="EL236"/>
          <cell r="EM236"/>
          <cell r="EN236"/>
          <cell r="EO236"/>
          <cell r="EP236"/>
          <cell r="EQ236"/>
          <cell r="ER236"/>
          <cell r="ES236"/>
          <cell r="ET236"/>
          <cell r="EU236"/>
          <cell r="EV236"/>
        </row>
        <row r="238">
          <cell r="T238" t="str">
            <v>BUDGET FORECAST</v>
          </cell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K238"/>
          <cell r="DL238"/>
          <cell r="DM238"/>
          <cell r="DN238"/>
          <cell r="DO238"/>
          <cell r="DP238"/>
          <cell r="DQ238"/>
          <cell r="DR238"/>
          <cell r="DS238"/>
          <cell r="DT238"/>
          <cell r="DU238"/>
          <cell r="DV238"/>
          <cell r="DW238"/>
          <cell r="DX238"/>
          <cell r="DY238"/>
          <cell r="DZ238"/>
          <cell r="EA238"/>
          <cell r="EB238"/>
          <cell r="EC238"/>
          <cell r="ED238"/>
          <cell r="EE238"/>
          <cell r="EF238"/>
          <cell r="EG238"/>
          <cell r="EH238"/>
          <cell r="EI238"/>
          <cell r="EJ238"/>
          <cell r="EK238"/>
          <cell r="EL238"/>
          <cell r="EM238"/>
          <cell r="EN238"/>
          <cell r="EO238"/>
          <cell r="EP238"/>
          <cell r="EQ238"/>
          <cell r="ER238"/>
          <cell r="ES238"/>
          <cell r="ET238"/>
          <cell r="EU238"/>
          <cell r="EV238"/>
          <cell r="EW238"/>
          <cell r="EX238"/>
          <cell r="EY238"/>
          <cell r="EZ238"/>
          <cell r="FA238"/>
          <cell r="FB238"/>
          <cell r="FC238"/>
          <cell r="FD238"/>
          <cell r="FE238"/>
          <cell r="FF238"/>
          <cell r="FG238"/>
          <cell r="FH238"/>
          <cell r="FI238"/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K239"/>
          <cell r="DL239"/>
          <cell r="DM239"/>
          <cell r="DN239"/>
          <cell r="DO239"/>
          <cell r="DP239"/>
          <cell r="DQ239"/>
          <cell r="DR239"/>
          <cell r="DS239"/>
          <cell r="DT239"/>
          <cell r="DU239"/>
          <cell r="DV239"/>
          <cell r="DW239"/>
          <cell r="DX239"/>
          <cell r="DY239"/>
          <cell r="DZ239"/>
          <cell r="EA239"/>
          <cell r="EB239"/>
          <cell r="EC239"/>
          <cell r="ED239"/>
          <cell r="EE239"/>
          <cell r="EF239"/>
          <cell r="EG239"/>
          <cell r="EH239"/>
          <cell r="EI239"/>
          <cell r="EJ239"/>
          <cell r="EK239"/>
          <cell r="EL239"/>
          <cell r="EM239"/>
          <cell r="EN239"/>
          <cell r="EO239"/>
          <cell r="EP239"/>
          <cell r="EQ239"/>
          <cell r="ER239"/>
          <cell r="ES239"/>
          <cell r="ET239"/>
          <cell r="EU239"/>
          <cell r="EV239"/>
          <cell r="EW239"/>
          <cell r="EX239"/>
          <cell r="EY239"/>
          <cell r="EZ239"/>
          <cell r="FA239"/>
          <cell r="FB239"/>
          <cell r="FC239"/>
          <cell r="FD239"/>
          <cell r="FE239"/>
          <cell r="FF239"/>
          <cell r="FG239"/>
          <cell r="FH239"/>
          <cell r="FI239"/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K240"/>
          <cell r="DL240"/>
          <cell r="DM240"/>
          <cell r="DN240"/>
          <cell r="DO240"/>
          <cell r="DP240"/>
          <cell r="DQ240"/>
          <cell r="DR240"/>
          <cell r="DS240"/>
          <cell r="DT240"/>
          <cell r="DU240"/>
          <cell r="DV240"/>
          <cell r="DW240"/>
          <cell r="DX240"/>
          <cell r="DY240"/>
          <cell r="DZ240"/>
          <cell r="EA240"/>
          <cell r="EB240"/>
          <cell r="EC240"/>
          <cell r="ED240"/>
          <cell r="EE240"/>
          <cell r="EF240"/>
          <cell r="EG240"/>
          <cell r="EH240"/>
          <cell r="EI240"/>
          <cell r="EJ240"/>
          <cell r="EK240"/>
          <cell r="EL240"/>
          <cell r="EM240"/>
          <cell r="EN240"/>
          <cell r="EO240"/>
          <cell r="EP240"/>
          <cell r="EQ240"/>
          <cell r="ER240"/>
          <cell r="ES240"/>
          <cell r="ET240"/>
          <cell r="EU240"/>
          <cell r="EV240"/>
          <cell r="EW240"/>
          <cell r="EX240"/>
          <cell r="EY240"/>
          <cell r="EZ240"/>
          <cell r="FA240"/>
          <cell r="FB240"/>
          <cell r="FC240"/>
          <cell r="FD240"/>
          <cell r="FE240"/>
          <cell r="FF240"/>
          <cell r="FG240"/>
          <cell r="FH240"/>
          <cell r="FI240"/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K241"/>
          <cell r="DL241"/>
          <cell r="DM241"/>
          <cell r="DN241"/>
          <cell r="DO241"/>
          <cell r="DP241"/>
          <cell r="DQ241"/>
          <cell r="DR241"/>
          <cell r="DS241"/>
          <cell r="DT241"/>
          <cell r="DU241"/>
          <cell r="DV241"/>
          <cell r="DW241"/>
          <cell r="DX241"/>
          <cell r="DY241"/>
          <cell r="DZ241"/>
          <cell r="EA241"/>
          <cell r="EB241"/>
          <cell r="EC241"/>
          <cell r="ED241"/>
          <cell r="EE241"/>
          <cell r="EF241"/>
          <cell r="EG241"/>
          <cell r="EH241"/>
          <cell r="EI241"/>
          <cell r="EJ241"/>
          <cell r="EK241"/>
          <cell r="EL241"/>
          <cell r="EM241"/>
          <cell r="EN241"/>
          <cell r="EO241"/>
          <cell r="EP241"/>
          <cell r="EQ241"/>
          <cell r="ER241"/>
          <cell r="ES241"/>
          <cell r="ET241"/>
          <cell r="EU241"/>
          <cell r="EV241"/>
          <cell r="EW241"/>
          <cell r="EX241"/>
          <cell r="EY241"/>
          <cell r="EZ241"/>
          <cell r="FA241"/>
          <cell r="FB241"/>
          <cell r="FC241"/>
          <cell r="FD241"/>
          <cell r="FE241"/>
          <cell r="FF241"/>
          <cell r="FG241"/>
          <cell r="FH241"/>
          <cell r="FI241"/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K242"/>
          <cell r="DL242"/>
          <cell r="DM242"/>
          <cell r="DN242"/>
          <cell r="DO242"/>
          <cell r="DP242"/>
          <cell r="DQ242"/>
          <cell r="DR242"/>
          <cell r="DS242"/>
          <cell r="DT242"/>
          <cell r="DU242"/>
          <cell r="DV242"/>
          <cell r="DW242"/>
          <cell r="DX242"/>
          <cell r="DY242"/>
          <cell r="DZ242"/>
          <cell r="EA242"/>
          <cell r="EB242"/>
          <cell r="EC242"/>
          <cell r="ED242"/>
          <cell r="EE242"/>
          <cell r="EF242"/>
          <cell r="EG242"/>
          <cell r="EH242"/>
          <cell r="EI242"/>
          <cell r="EJ242"/>
          <cell r="EK242"/>
          <cell r="EL242"/>
          <cell r="EM242"/>
          <cell r="EN242"/>
          <cell r="EO242"/>
          <cell r="EP242"/>
          <cell r="EQ242"/>
          <cell r="ER242"/>
          <cell r="ES242"/>
          <cell r="ET242"/>
          <cell r="EU242"/>
          <cell r="EV242"/>
          <cell r="EW242"/>
          <cell r="EX242"/>
          <cell r="EY242"/>
          <cell r="EZ242"/>
          <cell r="FA242"/>
          <cell r="FB242"/>
          <cell r="FC242"/>
          <cell r="FD242"/>
          <cell r="FE242"/>
          <cell r="FF242"/>
          <cell r="FG242"/>
          <cell r="FH242"/>
          <cell r="FI242"/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K243"/>
          <cell r="DL243"/>
          <cell r="DM243"/>
          <cell r="DN243"/>
          <cell r="DO243"/>
          <cell r="DP243"/>
          <cell r="DQ243"/>
          <cell r="DR243"/>
          <cell r="DS243"/>
          <cell r="DT243"/>
          <cell r="DU243"/>
          <cell r="DV243"/>
          <cell r="DW243"/>
          <cell r="DX243"/>
          <cell r="DY243"/>
          <cell r="DZ243"/>
          <cell r="EA243"/>
          <cell r="EB243"/>
          <cell r="EC243"/>
          <cell r="ED243"/>
          <cell r="EE243"/>
          <cell r="EF243"/>
          <cell r="EG243"/>
          <cell r="EH243"/>
          <cell r="EI243"/>
          <cell r="EJ243"/>
          <cell r="EK243"/>
          <cell r="EL243"/>
          <cell r="EM243"/>
          <cell r="EN243"/>
          <cell r="EO243"/>
          <cell r="EP243"/>
          <cell r="EQ243"/>
          <cell r="ER243"/>
          <cell r="ES243"/>
          <cell r="ET243"/>
          <cell r="EU243"/>
          <cell r="EV243"/>
          <cell r="EW243"/>
          <cell r="EX243"/>
          <cell r="EY243"/>
          <cell r="EZ243"/>
          <cell r="FA243"/>
          <cell r="FB243"/>
          <cell r="FC243"/>
          <cell r="FD243"/>
          <cell r="FE243"/>
          <cell r="FF243"/>
          <cell r="FG243"/>
          <cell r="FH243"/>
          <cell r="FI243"/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K244"/>
          <cell r="DL244"/>
          <cell r="DM244"/>
          <cell r="DN244"/>
          <cell r="DO244"/>
          <cell r="DP244"/>
          <cell r="DQ244"/>
          <cell r="DR244"/>
          <cell r="DS244"/>
          <cell r="DT244"/>
          <cell r="DU244"/>
          <cell r="DV244"/>
          <cell r="DW244"/>
          <cell r="DX244"/>
          <cell r="DY244"/>
          <cell r="DZ244"/>
          <cell r="EA244"/>
          <cell r="EB244"/>
          <cell r="EC244"/>
          <cell r="ED244"/>
          <cell r="EE244"/>
          <cell r="EF244"/>
          <cell r="EG244"/>
          <cell r="EH244"/>
          <cell r="EI244"/>
          <cell r="EJ244"/>
          <cell r="EK244"/>
          <cell r="EL244"/>
          <cell r="EM244"/>
          <cell r="EN244"/>
          <cell r="EO244"/>
          <cell r="EP244"/>
          <cell r="EQ244"/>
          <cell r="ER244"/>
          <cell r="ES244"/>
          <cell r="ET244"/>
          <cell r="EU244"/>
          <cell r="EV244"/>
          <cell r="EW244"/>
          <cell r="EX244"/>
          <cell r="EY244"/>
          <cell r="EZ244"/>
          <cell r="FA244"/>
          <cell r="FB244"/>
          <cell r="FC244"/>
          <cell r="FD244"/>
          <cell r="FE244"/>
          <cell r="FF244"/>
          <cell r="FG244"/>
          <cell r="FH244"/>
          <cell r="FI244"/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K249"/>
          <cell r="DL249"/>
          <cell r="DM249"/>
          <cell r="DN249"/>
          <cell r="DO249"/>
          <cell r="DP249"/>
          <cell r="DQ249"/>
          <cell r="DR249"/>
          <cell r="DS249"/>
          <cell r="DT249"/>
          <cell r="DU249"/>
          <cell r="DV249"/>
          <cell r="DW249"/>
          <cell r="DX249"/>
          <cell r="DY249"/>
          <cell r="DZ249"/>
          <cell r="EA249"/>
          <cell r="EB249"/>
          <cell r="EC249"/>
          <cell r="ED249"/>
          <cell r="EE249"/>
          <cell r="EF249"/>
          <cell r="EG249"/>
          <cell r="EH249"/>
          <cell r="EI249"/>
          <cell r="EJ249"/>
          <cell r="EK249"/>
          <cell r="EL249"/>
          <cell r="EM249"/>
          <cell r="EN249"/>
          <cell r="EO249"/>
          <cell r="EP249"/>
          <cell r="EQ249"/>
          <cell r="ER249"/>
          <cell r="ES249"/>
          <cell r="ET249"/>
          <cell r="EU249"/>
          <cell r="EV249"/>
        </row>
        <row r="250">
          <cell r="V250" t="str">
            <v>PROJECTED STREET</v>
          </cell>
          <cell r="X250">
            <v>36184</v>
          </cell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K250"/>
          <cell r="DL250"/>
          <cell r="DM250"/>
          <cell r="DN250"/>
          <cell r="DO250"/>
          <cell r="DP250"/>
          <cell r="DQ250"/>
          <cell r="DR250"/>
          <cell r="DS250"/>
          <cell r="DT250"/>
          <cell r="DU250"/>
          <cell r="DV250"/>
          <cell r="DW250"/>
          <cell r="DX250"/>
          <cell r="DY250"/>
          <cell r="DZ250"/>
          <cell r="EA250"/>
          <cell r="EB250"/>
          <cell r="EC250"/>
          <cell r="ED250"/>
          <cell r="EE250"/>
          <cell r="EF250"/>
          <cell r="EG250"/>
          <cell r="EH250"/>
          <cell r="EI250"/>
          <cell r="EJ250"/>
          <cell r="EK250"/>
          <cell r="EL250"/>
          <cell r="EM250"/>
          <cell r="EN250"/>
          <cell r="EO250"/>
          <cell r="EP250"/>
          <cell r="EQ250"/>
          <cell r="ER250"/>
          <cell r="ES250"/>
          <cell r="ET250"/>
          <cell r="EU250"/>
          <cell r="EV250"/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K253"/>
          <cell r="DL253"/>
          <cell r="DM253"/>
          <cell r="DN253"/>
          <cell r="DO253"/>
          <cell r="DP253"/>
          <cell r="DQ253"/>
          <cell r="DR253"/>
          <cell r="DS253"/>
          <cell r="DT253"/>
          <cell r="DU253"/>
          <cell r="DV253"/>
          <cell r="DW253"/>
          <cell r="DX253"/>
          <cell r="DY253"/>
          <cell r="DZ253"/>
          <cell r="EA253"/>
          <cell r="EB253"/>
          <cell r="EC253"/>
          <cell r="ED253"/>
          <cell r="EE253"/>
          <cell r="EF253"/>
          <cell r="EG253"/>
          <cell r="EH253"/>
          <cell r="EI253"/>
          <cell r="EJ253"/>
          <cell r="EK253"/>
          <cell r="EL253"/>
          <cell r="EM253"/>
          <cell r="EN253"/>
          <cell r="EO253"/>
          <cell r="EP253"/>
          <cell r="EQ253"/>
          <cell r="ER253"/>
          <cell r="ES253"/>
          <cell r="ET253"/>
          <cell r="EU253"/>
          <cell r="EV253"/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K254"/>
          <cell r="DL254"/>
          <cell r="DM254"/>
          <cell r="DN254"/>
          <cell r="DO254"/>
          <cell r="DP254"/>
          <cell r="DQ254"/>
          <cell r="DR254"/>
          <cell r="DS254"/>
          <cell r="DT254"/>
          <cell r="DU254"/>
          <cell r="DV254"/>
          <cell r="DW254"/>
          <cell r="DX254"/>
          <cell r="DY254"/>
          <cell r="DZ254"/>
          <cell r="EA254"/>
          <cell r="EB254"/>
          <cell r="EC254"/>
          <cell r="ED254"/>
          <cell r="EE254"/>
          <cell r="EF254"/>
          <cell r="EG254"/>
          <cell r="EH254"/>
          <cell r="EI254"/>
          <cell r="EJ254"/>
          <cell r="EK254"/>
          <cell r="EL254"/>
          <cell r="EM254"/>
          <cell r="EN254"/>
          <cell r="EO254"/>
          <cell r="EP254"/>
          <cell r="EQ254"/>
          <cell r="ER254"/>
          <cell r="ES254"/>
          <cell r="ET254"/>
          <cell r="EU254"/>
          <cell r="EV254"/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K255"/>
          <cell r="DL255"/>
          <cell r="DM255"/>
          <cell r="DN255"/>
          <cell r="DO255"/>
          <cell r="DP255"/>
          <cell r="DQ255"/>
          <cell r="DR255"/>
          <cell r="DS255"/>
          <cell r="DT255"/>
          <cell r="DU255"/>
          <cell r="DV255"/>
          <cell r="DW255"/>
          <cell r="DX255"/>
          <cell r="DY255"/>
          <cell r="DZ255"/>
          <cell r="EA255"/>
          <cell r="EB255"/>
          <cell r="EC255"/>
          <cell r="ED255"/>
          <cell r="EE255"/>
          <cell r="EF255"/>
          <cell r="EG255"/>
          <cell r="EH255"/>
          <cell r="EI255"/>
          <cell r="EJ255"/>
          <cell r="EK255"/>
          <cell r="EL255"/>
          <cell r="EM255"/>
          <cell r="EN255"/>
          <cell r="EO255"/>
          <cell r="EP255"/>
          <cell r="EQ255"/>
          <cell r="ER255"/>
          <cell r="ES255"/>
          <cell r="ET255"/>
          <cell r="EU255"/>
          <cell r="EV255"/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K256"/>
          <cell r="DL256"/>
          <cell r="DM256"/>
          <cell r="DN256"/>
          <cell r="DO256"/>
          <cell r="DP256"/>
          <cell r="DQ256"/>
          <cell r="DR256"/>
          <cell r="DS256"/>
          <cell r="DT256"/>
          <cell r="DU256"/>
          <cell r="DV256"/>
          <cell r="DW256"/>
          <cell r="DX256"/>
          <cell r="DY256"/>
          <cell r="DZ256"/>
          <cell r="EA256"/>
          <cell r="EB256"/>
          <cell r="EC256"/>
          <cell r="ED256"/>
          <cell r="EE256"/>
          <cell r="EF256"/>
          <cell r="EG256"/>
          <cell r="EH256"/>
          <cell r="EI256"/>
          <cell r="EJ256"/>
          <cell r="EK256"/>
          <cell r="EL256"/>
          <cell r="EM256"/>
          <cell r="EN256"/>
          <cell r="EO256"/>
          <cell r="EP256"/>
          <cell r="EQ256"/>
          <cell r="ER256"/>
          <cell r="ES256"/>
          <cell r="ET256"/>
          <cell r="EU256"/>
          <cell r="EV256"/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/>
          <cell r="DD257"/>
          <cell r="DE257"/>
          <cell r="DF257"/>
          <cell r="DG257"/>
          <cell r="DH257"/>
          <cell r="DI257"/>
          <cell r="DJ257"/>
          <cell r="DK257"/>
          <cell r="DL257"/>
          <cell r="DM257"/>
          <cell r="DN257"/>
          <cell r="DO257"/>
          <cell r="DP257"/>
          <cell r="DQ257"/>
          <cell r="DR257"/>
          <cell r="DS257"/>
          <cell r="DT257"/>
          <cell r="DU257"/>
          <cell r="DV257"/>
          <cell r="DW257"/>
          <cell r="DX257"/>
          <cell r="DY257"/>
          <cell r="DZ257"/>
          <cell r="EA257"/>
          <cell r="EB257"/>
          <cell r="EC257"/>
          <cell r="ED257"/>
          <cell r="EE257"/>
          <cell r="EF257"/>
          <cell r="EG257"/>
          <cell r="EH257"/>
          <cell r="EI257"/>
          <cell r="EJ257"/>
          <cell r="EK257"/>
          <cell r="EL257"/>
          <cell r="EM257"/>
          <cell r="EN257"/>
          <cell r="EO257"/>
          <cell r="EP257"/>
          <cell r="EQ257"/>
          <cell r="ER257"/>
          <cell r="ES257"/>
          <cell r="ET257"/>
          <cell r="EU257"/>
          <cell r="EV257"/>
        </row>
        <row r="259">
          <cell r="T259" t="str">
            <v>BUDGET FORECAST</v>
          </cell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K259"/>
          <cell r="DL259"/>
          <cell r="DM259"/>
          <cell r="DN259"/>
          <cell r="DO259"/>
          <cell r="DP259"/>
          <cell r="DQ259"/>
          <cell r="DR259"/>
          <cell r="DS259"/>
          <cell r="DT259"/>
          <cell r="DU259"/>
          <cell r="DV259"/>
          <cell r="DW259"/>
          <cell r="DX259"/>
          <cell r="DY259"/>
          <cell r="DZ259"/>
          <cell r="EA259"/>
          <cell r="EB259"/>
          <cell r="EC259"/>
          <cell r="ED259"/>
          <cell r="EE259"/>
          <cell r="EF259"/>
          <cell r="EG259"/>
          <cell r="EH259"/>
          <cell r="EI259"/>
          <cell r="EJ259"/>
          <cell r="EK259"/>
          <cell r="EL259"/>
          <cell r="EM259"/>
          <cell r="EN259"/>
          <cell r="EO259"/>
          <cell r="EP259"/>
          <cell r="EQ259"/>
          <cell r="ER259"/>
          <cell r="ES259"/>
          <cell r="ET259"/>
          <cell r="EU259"/>
          <cell r="EV259"/>
          <cell r="EW259"/>
          <cell r="EX259"/>
          <cell r="EY259"/>
          <cell r="EZ259"/>
          <cell r="FA259"/>
          <cell r="FB259"/>
          <cell r="FC259"/>
          <cell r="FD259"/>
          <cell r="FE259"/>
          <cell r="FF259"/>
          <cell r="FG259"/>
          <cell r="FH259"/>
          <cell r="FI259"/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K260"/>
          <cell r="DL260"/>
          <cell r="DM260"/>
          <cell r="DN260"/>
          <cell r="DO260"/>
          <cell r="DP260"/>
          <cell r="DQ260"/>
          <cell r="DR260"/>
          <cell r="DS260"/>
          <cell r="DT260"/>
          <cell r="DU260"/>
          <cell r="DV260"/>
          <cell r="DW260"/>
          <cell r="DX260"/>
          <cell r="DY260"/>
          <cell r="DZ260"/>
          <cell r="EA260"/>
          <cell r="EB260"/>
          <cell r="EC260"/>
          <cell r="ED260"/>
          <cell r="EE260"/>
          <cell r="EF260"/>
          <cell r="EG260"/>
          <cell r="EH260"/>
          <cell r="EI260"/>
          <cell r="EJ260"/>
          <cell r="EK260"/>
          <cell r="EL260"/>
          <cell r="EM260"/>
          <cell r="EN260"/>
          <cell r="EO260"/>
          <cell r="EP260"/>
          <cell r="EQ260"/>
          <cell r="ER260"/>
          <cell r="ES260"/>
          <cell r="ET260"/>
          <cell r="EU260"/>
          <cell r="EV260"/>
          <cell r="EW260"/>
          <cell r="EX260"/>
          <cell r="EY260"/>
          <cell r="EZ260"/>
          <cell r="FA260"/>
          <cell r="FB260"/>
          <cell r="FC260"/>
          <cell r="FD260"/>
          <cell r="FE260"/>
          <cell r="FF260"/>
          <cell r="FG260"/>
          <cell r="FH260"/>
          <cell r="FI260"/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K261"/>
          <cell r="DL261"/>
          <cell r="DM261"/>
          <cell r="DN261"/>
          <cell r="DO261"/>
          <cell r="DP261"/>
          <cell r="DQ261"/>
          <cell r="DR261"/>
          <cell r="DS261"/>
          <cell r="DT261"/>
          <cell r="DU261"/>
          <cell r="DV261"/>
          <cell r="DW261"/>
          <cell r="DX261"/>
          <cell r="DY261"/>
          <cell r="DZ261"/>
          <cell r="EA261"/>
          <cell r="EB261"/>
          <cell r="EC261"/>
          <cell r="ED261"/>
          <cell r="EE261"/>
          <cell r="EF261"/>
          <cell r="EG261"/>
          <cell r="EH261"/>
          <cell r="EI261"/>
          <cell r="EJ261"/>
          <cell r="EK261"/>
          <cell r="EL261"/>
          <cell r="EM261"/>
          <cell r="EN261"/>
          <cell r="EO261"/>
          <cell r="EP261"/>
          <cell r="EQ261"/>
          <cell r="ER261"/>
          <cell r="ES261"/>
          <cell r="ET261"/>
          <cell r="EU261"/>
          <cell r="EV261"/>
          <cell r="EW261"/>
          <cell r="EX261"/>
          <cell r="EY261"/>
          <cell r="EZ261"/>
          <cell r="FA261"/>
          <cell r="FB261"/>
          <cell r="FC261"/>
          <cell r="FD261"/>
          <cell r="FE261"/>
          <cell r="FF261"/>
          <cell r="FG261"/>
          <cell r="FH261"/>
          <cell r="FI261"/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K262"/>
          <cell r="DL262"/>
          <cell r="DM262"/>
          <cell r="DN262"/>
          <cell r="DO262"/>
          <cell r="DP262"/>
          <cell r="DQ262"/>
          <cell r="DR262"/>
          <cell r="DS262"/>
          <cell r="DT262"/>
          <cell r="DU262"/>
          <cell r="DV262"/>
          <cell r="DW262"/>
          <cell r="DX262"/>
          <cell r="DY262"/>
          <cell r="DZ262"/>
          <cell r="EA262"/>
          <cell r="EB262"/>
          <cell r="EC262"/>
          <cell r="ED262"/>
          <cell r="EE262"/>
          <cell r="EF262"/>
          <cell r="EG262"/>
          <cell r="EH262"/>
          <cell r="EI262"/>
          <cell r="EJ262"/>
          <cell r="EK262"/>
          <cell r="EL262"/>
          <cell r="EM262"/>
          <cell r="EN262"/>
          <cell r="EO262"/>
          <cell r="EP262"/>
          <cell r="EQ262"/>
          <cell r="ER262"/>
          <cell r="ES262"/>
          <cell r="ET262"/>
          <cell r="EU262"/>
          <cell r="EV262"/>
          <cell r="EW262"/>
          <cell r="EX262"/>
          <cell r="EY262"/>
          <cell r="EZ262"/>
          <cell r="FA262"/>
          <cell r="FB262"/>
          <cell r="FC262"/>
          <cell r="FD262"/>
          <cell r="FE262"/>
          <cell r="FF262"/>
          <cell r="FG262"/>
          <cell r="FH262"/>
          <cell r="FI262"/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K263"/>
          <cell r="DL263"/>
          <cell r="DM263"/>
          <cell r="DN263"/>
          <cell r="DO263"/>
          <cell r="DP263"/>
          <cell r="DQ263"/>
          <cell r="DR263"/>
          <cell r="DS263"/>
          <cell r="DT263"/>
          <cell r="DU263"/>
          <cell r="DV263"/>
          <cell r="DW263"/>
          <cell r="DX263"/>
          <cell r="DY263"/>
          <cell r="DZ263"/>
          <cell r="EA263"/>
          <cell r="EB263"/>
          <cell r="EC263"/>
          <cell r="ED263"/>
          <cell r="EE263"/>
          <cell r="EF263"/>
          <cell r="EG263"/>
          <cell r="EH263"/>
          <cell r="EI263"/>
          <cell r="EJ263"/>
          <cell r="EK263"/>
          <cell r="EL263"/>
          <cell r="EM263"/>
          <cell r="EN263"/>
          <cell r="EO263"/>
          <cell r="EP263"/>
          <cell r="EQ263"/>
          <cell r="ER263"/>
          <cell r="ES263"/>
          <cell r="ET263"/>
          <cell r="EU263"/>
          <cell r="EV263"/>
          <cell r="EW263"/>
          <cell r="EX263"/>
          <cell r="EY263"/>
          <cell r="EZ263"/>
          <cell r="FA263"/>
          <cell r="FB263"/>
          <cell r="FC263"/>
          <cell r="FD263"/>
          <cell r="FE263"/>
          <cell r="FF263"/>
          <cell r="FG263"/>
          <cell r="FH263"/>
          <cell r="FI263"/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/>
          <cell r="DD264"/>
          <cell r="DE264"/>
          <cell r="DF264"/>
          <cell r="DG264"/>
          <cell r="DH264"/>
          <cell r="DI264"/>
          <cell r="DJ264"/>
          <cell r="DK264"/>
          <cell r="DL264"/>
          <cell r="DM264"/>
          <cell r="DN264"/>
          <cell r="DO264"/>
          <cell r="DP264"/>
          <cell r="DQ264"/>
          <cell r="DR264"/>
          <cell r="DS264"/>
          <cell r="DT264"/>
          <cell r="DU264"/>
          <cell r="DV264"/>
          <cell r="DW264"/>
          <cell r="DX264"/>
          <cell r="DY264"/>
          <cell r="DZ264"/>
          <cell r="EA264"/>
          <cell r="EB264"/>
          <cell r="EC264"/>
          <cell r="ED264"/>
          <cell r="EE264"/>
          <cell r="EF264"/>
          <cell r="EG264"/>
          <cell r="EH264"/>
          <cell r="EI264"/>
          <cell r="EJ264"/>
          <cell r="EK264"/>
          <cell r="EL264"/>
          <cell r="EM264"/>
          <cell r="EN264"/>
          <cell r="EO264"/>
          <cell r="EP264"/>
          <cell r="EQ264"/>
          <cell r="ER264"/>
          <cell r="ES264"/>
          <cell r="ET264"/>
          <cell r="EU264"/>
          <cell r="EV264"/>
          <cell r="EW264"/>
          <cell r="EX264"/>
          <cell r="EY264"/>
          <cell r="EZ264"/>
          <cell r="FA264"/>
          <cell r="FB264"/>
          <cell r="FC264"/>
          <cell r="FD264"/>
          <cell r="FE264"/>
          <cell r="FF264"/>
          <cell r="FG264"/>
          <cell r="FH264"/>
          <cell r="FI264"/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/>
          <cell r="DD265"/>
          <cell r="DE265"/>
          <cell r="DF265"/>
          <cell r="DG265"/>
          <cell r="DH265"/>
          <cell r="DI265"/>
          <cell r="DJ265"/>
          <cell r="DK265"/>
          <cell r="DL265"/>
          <cell r="DM265"/>
          <cell r="DN265"/>
          <cell r="DO265"/>
          <cell r="DP265"/>
          <cell r="DQ265"/>
          <cell r="DR265"/>
          <cell r="DS265"/>
          <cell r="DT265"/>
          <cell r="DU265"/>
          <cell r="DV265"/>
          <cell r="DW265"/>
          <cell r="DX265"/>
          <cell r="DY265"/>
          <cell r="DZ265"/>
          <cell r="EA265"/>
          <cell r="EB265"/>
          <cell r="EC265"/>
          <cell r="ED265"/>
          <cell r="EE265"/>
          <cell r="EF265"/>
          <cell r="EG265"/>
          <cell r="EH265"/>
          <cell r="EI265"/>
          <cell r="EJ265"/>
          <cell r="EK265"/>
          <cell r="EL265"/>
          <cell r="EM265"/>
          <cell r="EN265"/>
          <cell r="EO265"/>
          <cell r="EP265"/>
          <cell r="EQ265"/>
          <cell r="ER265"/>
          <cell r="ES265"/>
          <cell r="ET265"/>
          <cell r="EU265"/>
          <cell r="EV265"/>
          <cell r="EW265"/>
          <cell r="EX265"/>
          <cell r="EY265"/>
          <cell r="EZ265"/>
          <cell r="FA265"/>
          <cell r="FB265"/>
          <cell r="FC265"/>
          <cell r="FD265"/>
          <cell r="FE265"/>
          <cell r="FF265"/>
          <cell r="FG265"/>
          <cell r="FH265"/>
          <cell r="FI265"/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/>
          <cell r="DD270"/>
          <cell r="DE270"/>
          <cell r="DF270"/>
          <cell r="DG270"/>
          <cell r="DH270"/>
          <cell r="DI270"/>
          <cell r="DJ270"/>
          <cell r="DK270"/>
          <cell r="DL270"/>
          <cell r="DM270"/>
          <cell r="DN270"/>
          <cell r="DO270"/>
          <cell r="DP270"/>
          <cell r="DQ270"/>
          <cell r="DR270"/>
          <cell r="DS270"/>
          <cell r="DT270"/>
          <cell r="DU270"/>
          <cell r="DV270"/>
          <cell r="DW270"/>
          <cell r="DX270"/>
          <cell r="DY270"/>
          <cell r="DZ270"/>
          <cell r="EA270"/>
          <cell r="EB270"/>
          <cell r="EC270"/>
          <cell r="ED270"/>
          <cell r="EE270"/>
          <cell r="EF270"/>
          <cell r="EG270"/>
          <cell r="EH270"/>
          <cell r="EI270"/>
          <cell r="EJ270"/>
          <cell r="EK270"/>
          <cell r="EL270"/>
          <cell r="EM270"/>
          <cell r="EN270"/>
          <cell r="EO270"/>
          <cell r="EP270"/>
          <cell r="EQ270"/>
          <cell r="ER270"/>
          <cell r="ES270"/>
          <cell r="ET270"/>
          <cell r="EU270"/>
          <cell r="EV270"/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EE VARIABLES"/>
      <sheetName val="PRODUCT SCHEDULE"/>
      <sheetName val="DRIVEN BY RELEASE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/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/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/>
          <cell r="U10"/>
          <cell r="V10"/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/>
          <cell r="U11"/>
          <cell r="V11"/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/>
          <cell r="U12"/>
          <cell r="V12"/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/>
          <cell r="U13"/>
          <cell r="V13"/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/>
          <cell r="U14"/>
          <cell r="V14"/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/>
          <cell r="U20"/>
          <cell r="V20"/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/>
          <cell r="U21"/>
          <cell r="V21"/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/>
          <cell r="U22"/>
          <cell r="V22"/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/>
          <cell r="U23"/>
          <cell r="V23"/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/>
          <cell r="U24"/>
          <cell r="V24"/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/>
          <cell r="U25"/>
          <cell r="V25"/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/>
          <cell r="U26"/>
          <cell r="V26"/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/>
          <cell r="U32"/>
          <cell r="V32"/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/>
          <cell r="U33"/>
          <cell r="V33"/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/>
          <cell r="U34"/>
          <cell r="V34"/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/>
          <cell r="U35"/>
          <cell r="V35"/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/>
          <cell r="U36"/>
          <cell r="V36"/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/>
          <cell r="U37"/>
          <cell r="V37"/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/>
          <cell r="U38"/>
          <cell r="V38"/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/>
          <cell r="U44"/>
          <cell r="V44"/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/>
          <cell r="U45"/>
          <cell r="V45"/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/>
          <cell r="U46"/>
          <cell r="V46"/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/>
          <cell r="U47"/>
          <cell r="V47"/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/>
          <cell r="U48"/>
          <cell r="V48"/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/>
          <cell r="U49"/>
          <cell r="V49"/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/>
          <cell r="U50"/>
          <cell r="V50"/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/>
          <cell r="U56"/>
          <cell r="V56"/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/>
          <cell r="U57"/>
          <cell r="V57"/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/>
          <cell r="U58"/>
          <cell r="V58"/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/>
          <cell r="U59"/>
          <cell r="V59"/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/>
          <cell r="U60"/>
          <cell r="V60"/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/>
          <cell r="U61"/>
          <cell r="V61"/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/>
          <cell r="U62"/>
          <cell r="V62"/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/>
          <cell r="U68"/>
          <cell r="V68"/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/>
          <cell r="U69"/>
          <cell r="V69"/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/>
          <cell r="U70"/>
          <cell r="V70"/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/>
          <cell r="U71"/>
          <cell r="V71"/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/>
          <cell r="U72"/>
          <cell r="V72"/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/>
          <cell r="U73"/>
          <cell r="V73"/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/>
          <cell r="U74"/>
          <cell r="V74"/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/>
          <cell r="U80"/>
          <cell r="V80"/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/>
          <cell r="U81"/>
          <cell r="V81"/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/>
          <cell r="U82"/>
          <cell r="V82"/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/>
          <cell r="U83"/>
          <cell r="V83"/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/>
          <cell r="U84"/>
          <cell r="V84"/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/>
          <cell r="U85"/>
          <cell r="V85"/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/>
          <cell r="U86"/>
          <cell r="V86"/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/>
          <cell r="U92"/>
          <cell r="V92"/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/>
          <cell r="U93"/>
          <cell r="V93"/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/>
          <cell r="U94"/>
          <cell r="V94"/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/>
          <cell r="U95"/>
          <cell r="V95"/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/>
          <cell r="U96"/>
          <cell r="V96"/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/>
          <cell r="U97"/>
          <cell r="V97"/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/>
          <cell r="U98"/>
          <cell r="V98"/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/>
          <cell r="U104"/>
          <cell r="V104"/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/>
          <cell r="U105"/>
          <cell r="V105"/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/>
          <cell r="U106"/>
          <cell r="V106"/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/>
          <cell r="U107"/>
          <cell r="V107"/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/>
          <cell r="U108"/>
          <cell r="V108"/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/>
          <cell r="U109"/>
          <cell r="V109"/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/>
          <cell r="U110"/>
          <cell r="V110"/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/>
          <cell r="U116"/>
          <cell r="V116"/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/>
          <cell r="U117"/>
          <cell r="V117"/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/>
          <cell r="U118"/>
          <cell r="V118"/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/>
          <cell r="U119"/>
          <cell r="V119"/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/>
          <cell r="U120"/>
          <cell r="V120"/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/>
          <cell r="U121"/>
          <cell r="V121"/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/>
          <cell r="U122"/>
          <cell r="V122"/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/>
          <cell r="U130"/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/>
          <cell r="U131"/>
          <cell r="V131"/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/>
          <cell r="U138"/>
          <cell r="V138"/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/>
          <cell r="U139"/>
          <cell r="V139"/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/>
          <cell r="U140"/>
          <cell r="V140"/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/>
          <cell r="U148"/>
          <cell r="V148"/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/>
          <cell r="U149"/>
          <cell r="V149"/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/>
          <cell r="U150"/>
          <cell r="V150"/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/>
          <cell r="U158"/>
          <cell r="V158"/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/>
          <cell r="U159"/>
          <cell r="V159"/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/>
          <cell r="U160"/>
          <cell r="V160"/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9D6782-888D-4C3D-AA2B-44B47C6708FD}" name="Таблица1" displayName="Таблица1" ref="A2:B14" totalsRowShown="0" headerRowDxfId="2">
  <autoFilter ref="A2:B14" xr:uid="{00000000-0009-0000-0100-000001000000}"/>
  <tableColumns count="2">
    <tableColumn id="1" xr3:uid="{659DFEF3-C4A4-4B02-B174-8F059CE35392}" name="Дата" dataDxfId="1"/>
    <tableColumn id="2" xr3:uid="{6445B922-2D36-48C7-BB95-F5AA41B39051}" name="Время года" dataDxfId="0">
      <calculatedColumnFormula>VLOOKUP(MONTH(A3), $M$3:$N$14, 2, 0)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D:\Documents%20and%20Settings\&#1054;&#1083;&#1077;&#1095;&#1082;&#1072;\&#1056;&#1072;&#1073;&#1086;&#1095;&#1080;&#1081;%20&#1089;&#1090;&#1086;&#1083;\&#1057;&#1077;&#1084;&#1080;&#1085;&#1072;&#1088;\&#1056;&#1072;&#1089;&#1095;&#1077;&#1090;&#1099;%20Excel.xls" TargetMode="External"/><Relationship Id="rId1" Type="http://schemas.openxmlformats.org/officeDocument/2006/relationships/externalLinkPath" Target="file:///D:\Documents%20and%20Settings\&#1054;&#1083;&#1077;&#1095;&#1082;&#1072;\&#1056;&#1072;&#1073;&#1086;&#1095;&#1080;&#1081;%20&#1089;&#1090;&#1086;&#1083;\&#1057;&#1077;&#1084;&#1080;&#1085;&#1072;&#1088;\&#1056;&#1072;&#1089;&#1095;&#1077;&#1090;&#1099;%20Excel.xls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525C-84D2-4762-B32B-6014A1B781EF}">
  <sheetPr>
    <tabColor indexed="11"/>
  </sheetPr>
  <dimension ref="A1:G2"/>
  <sheetViews>
    <sheetView showGridLines="0" zoomScale="120" zoomScaleNormal="120" workbookViewId="0"/>
  </sheetViews>
  <sheetFormatPr defaultRowHeight="14.25"/>
  <cols>
    <col min="1" max="1" width="16.7109375" style="4" bestFit="1" customWidth="1"/>
    <col min="2" max="2" width="12.28515625" style="4" bestFit="1" customWidth="1"/>
    <col min="3" max="3" width="14.140625" style="4" bestFit="1" customWidth="1"/>
    <col min="4" max="4" width="13.28515625" style="4" bestFit="1" customWidth="1"/>
    <col min="5" max="5" width="13.42578125" style="4" bestFit="1" customWidth="1"/>
    <col min="6" max="6" width="9.140625" style="4"/>
    <col min="7" max="7" width="12.7109375" style="4" bestFit="1" customWidth="1"/>
    <col min="8" max="16384" width="9.140625" style="4"/>
  </cols>
  <sheetData>
    <row r="1" spans="1:7" ht="15">
      <c r="A1" s="10" t="s">
        <v>38</v>
      </c>
      <c r="B1" s="10" t="s">
        <v>39</v>
      </c>
      <c r="C1" s="11" t="s">
        <v>40</v>
      </c>
      <c r="D1" s="11" t="s">
        <v>41</v>
      </c>
      <c r="E1" s="11" t="s">
        <v>42</v>
      </c>
      <c r="G1" s="12" t="s">
        <v>43</v>
      </c>
    </row>
    <row r="2" spans="1:7" ht="15">
      <c r="A2" s="13">
        <v>78.03</v>
      </c>
      <c r="B2" s="13">
        <v>84.85</v>
      </c>
      <c r="C2" s="4">
        <v>96.83</v>
      </c>
      <c r="D2" s="4">
        <v>0.6</v>
      </c>
      <c r="E2" s="4">
        <v>0.2</v>
      </c>
      <c r="G2" s="14">
        <f ca="1">TODAY()</f>
        <v>46138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BD70-5244-4BA3-9C95-A090F369A779}">
  <sheetPr>
    <tabColor rgb="FF92D050"/>
  </sheetPr>
  <dimension ref="A1:F15"/>
  <sheetViews>
    <sheetView tabSelected="1" workbookViewId="0">
      <selection activeCell="F17" sqref="F17"/>
    </sheetView>
  </sheetViews>
  <sheetFormatPr defaultRowHeight="14.25"/>
  <cols>
    <col min="1" max="1" width="7.28515625" style="4" bestFit="1" customWidth="1"/>
    <col min="2" max="2" width="33.5703125" style="4" bestFit="1" customWidth="1"/>
    <col min="3" max="3" width="19.7109375" style="4" customWidth="1"/>
    <col min="4" max="4" width="10.5703125" style="4" customWidth="1"/>
    <col min="5" max="5" width="14.140625" style="4" customWidth="1"/>
    <col min="6" max="6" width="13.42578125" style="4" customWidth="1"/>
    <col min="7" max="8" width="10.28515625" style="4" customWidth="1"/>
    <col min="9" max="16384" width="9.140625" style="4"/>
  </cols>
  <sheetData>
    <row r="1" spans="1:6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5" t="s">
        <v>6</v>
      </c>
      <c r="B2" s="6" t="s">
        <v>7</v>
      </c>
      <c r="C2" s="6" t="s">
        <v>8</v>
      </c>
      <c r="D2" s="6">
        <v>100</v>
      </c>
      <c r="E2" s="6">
        <f>$D2*Курс!$B$2</f>
        <v>8485</v>
      </c>
      <c r="F2" s="7">
        <f>$E2/Курс!$A$2</f>
        <v>108.74022811739074</v>
      </c>
    </row>
    <row r="3" spans="1:6">
      <c r="A3" s="5" t="s">
        <v>9</v>
      </c>
      <c r="B3" s="6" t="s">
        <v>7</v>
      </c>
      <c r="C3" s="6" t="s">
        <v>10</v>
      </c>
      <c r="D3" s="6">
        <v>80</v>
      </c>
      <c r="E3" s="6">
        <f>$D3*Курс!$B$2</f>
        <v>6788</v>
      </c>
      <c r="F3" s="7">
        <f>$E3/Курс!$A$2</f>
        <v>86.992182493912594</v>
      </c>
    </row>
    <row r="4" spans="1:6">
      <c r="A4" s="5" t="s">
        <v>11</v>
      </c>
      <c r="B4" s="6" t="s">
        <v>7</v>
      </c>
      <c r="C4" s="6" t="s">
        <v>12</v>
      </c>
      <c r="D4" s="6">
        <v>75</v>
      </c>
      <c r="E4" s="6">
        <f>$D4*Курс!$B$2</f>
        <v>6363.75</v>
      </c>
      <c r="F4" s="7">
        <f>$E4/Курс!$A$2</f>
        <v>81.555171088043053</v>
      </c>
    </row>
    <row r="5" spans="1:6">
      <c r="A5" s="5" t="s">
        <v>13</v>
      </c>
      <c r="B5" s="6" t="s">
        <v>7</v>
      </c>
      <c r="C5" s="6" t="s">
        <v>14</v>
      </c>
      <c r="D5" s="6">
        <v>95</v>
      </c>
      <c r="E5" s="6">
        <f>$D5*Курс!$B$2</f>
        <v>8060.7499999999991</v>
      </c>
      <c r="F5" s="7">
        <f>$E5/Курс!$A$2</f>
        <v>103.3032167115212</v>
      </c>
    </row>
    <row r="6" spans="1:6">
      <c r="A6" s="5" t="s">
        <v>15</v>
      </c>
      <c r="B6" s="6" t="s">
        <v>16</v>
      </c>
      <c r="C6" s="6" t="s">
        <v>17</v>
      </c>
      <c r="D6" s="6">
        <v>50</v>
      </c>
      <c r="E6" s="6">
        <f>$D6*Курс!$B$2</f>
        <v>4242.5</v>
      </c>
      <c r="F6" s="7">
        <f>$E6/Курс!$A$2</f>
        <v>54.370114058695371</v>
      </c>
    </row>
    <row r="7" spans="1:6">
      <c r="A7" s="5" t="s">
        <v>18</v>
      </c>
      <c r="B7" s="6" t="s">
        <v>16</v>
      </c>
      <c r="C7" s="6" t="s">
        <v>8</v>
      </c>
      <c r="D7" s="6">
        <v>45</v>
      </c>
      <c r="E7" s="6">
        <f>$D7*Курс!$B$2</f>
        <v>3818.2499999999995</v>
      </c>
      <c r="F7" s="7">
        <f>$E7/Курс!$A$2</f>
        <v>48.933102652825831</v>
      </c>
    </row>
    <row r="8" spans="1:6">
      <c r="A8" s="5" t="s">
        <v>19</v>
      </c>
      <c r="B8" s="6" t="s">
        <v>16</v>
      </c>
      <c r="C8" s="6" t="s">
        <v>10</v>
      </c>
      <c r="D8" s="6">
        <v>39</v>
      </c>
      <c r="E8" s="6">
        <f>$D8*Курс!$B$2</f>
        <v>3309.1499999999996</v>
      </c>
      <c r="F8" s="7">
        <f>$E8/Курс!$A$2</f>
        <v>42.408688965782389</v>
      </c>
    </row>
    <row r="9" spans="1:6">
      <c r="A9" s="5" t="s">
        <v>20</v>
      </c>
      <c r="B9" s="6" t="s">
        <v>16</v>
      </c>
      <c r="C9" s="6" t="s">
        <v>21</v>
      </c>
      <c r="D9" s="6">
        <v>50</v>
      </c>
      <c r="E9" s="6">
        <f>$D9*Курс!$B$2</f>
        <v>4242.5</v>
      </c>
      <c r="F9" s="7">
        <f>$E9/Курс!$A$2</f>
        <v>54.370114058695371</v>
      </c>
    </row>
    <row r="10" spans="1:6">
      <c r="A10" s="5" t="s">
        <v>22</v>
      </c>
      <c r="B10" s="6" t="s">
        <v>23</v>
      </c>
      <c r="C10" s="6" t="s">
        <v>8</v>
      </c>
      <c r="D10" s="6">
        <v>110</v>
      </c>
      <c r="E10" s="6">
        <f>$D10*Курс!$B$2</f>
        <v>9333.5</v>
      </c>
      <c r="F10" s="7">
        <f>$E10/Курс!$A$2</f>
        <v>119.61425092912982</v>
      </c>
    </row>
    <row r="11" spans="1:6">
      <c r="A11" s="5" t="s">
        <v>24</v>
      </c>
      <c r="B11" s="6" t="s">
        <v>23</v>
      </c>
      <c r="C11" s="6" t="s">
        <v>25</v>
      </c>
      <c r="D11" s="6">
        <v>85</v>
      </c>
      <c r="E11" s="6">
        <f>$D11*Курс!$B$2</f>
        <v>7212.2499999999991</v>
      </c>
      <c r="F11" s="7">
        <f>$E11/Курс!$A$2</f>
        <v>92.429193899782121</v>
      </c>
    </row>
    <row r="12" spans="1:6">
      <c r="A12" s="5" t="s">
        <v>26</v>
      </c>
      <c r="B12" s="6" t="s">
        <v>27</v>
      </c>
      <c r="C12" s="6" t="s">
        <v>28</v>
      </c>
      <c r="D12" s="6">
        <v>52</v>
      </c>
      <c r="E12" s="6">
        <f>$D12*Курс!$B$2</f>
        <v>4412.2</v>
      </c>
      <c r="F12" s="7">
        <f>$E12/Курс!$A$2</f>
        <v>56.544918621043188</v>
      </c>
    </row>
    <row r="13" spans="1:6">
      <c r="A13" s="5" t="s">
        <v>29</v>
      </c>
      <c r="B13" s="6" t="s">
        <v>30</v>
      </c>
      <c r="C13" s="6" t="s">
        <v>31</v>
      </c>
      <c r="D13" s="6">
        <v>500</v>
      </c>
      <c r="E13" s="6">
        <f>$D13*Курс!$B$2</f>
        <v>42425</v>
      </c>
      <c r="F13" s="7">
        <f>$E13/Курс!$A$2</f>
        <v>543.70114058695378</v>
      </c>
    </row>
    <row r="14" spans="1:6">
      <c r="A14" s="5" t="s">
        <v>32</v>
      </c>
      <c r="B14" s="6" t="s">
        <v>33</v>
      </c>
      <c r="C14" s="6" t="s">
        <v>34</v>
      </c>
      <c r="D14" s="6">
        <v>65</v>
      </c>
      <c r="E14" s="6">
        <f>$D14*Курс!$B$2</f>
        <v>5515.25</v>
      </c>
      <c r="F14" s="7">
        <f>$E14/Курс!$A$2</f>
        <v>70.681148276303986</v>
      </c>
    </row>
    <row r="15" spans="1:6">
      <c r="A15" s="8" t="s">
        <v>35</v>
      </c>
      <c r="B15" s="9" t="s">
        <v>36</v>
      </c>
      <c r="C15" s="9" t="s">
        <v>37</v>
      </c>
      <c r="D15" s="9">
        <v>1932</v>
      </c>
      <c r="E15" s="6">
        <f>$D15*Курс!$B$2</f>
        <v>163930.19999999998</v>
      </c>
      <c r="F15" s="7">
        <f>$E15/Курс!$A$2</f>
        <v>2100.8612072279889</v>
      </c>
    </row>
  </sheetData>
  <dataConsolidate>
    <dataRefs count="2">
      <dataRef ref="B2:D6" sheet="Зарплата" r:id="rId1"/>
      <dataRef ref="B15:D19" sheet="Зарплата" r:id="rId2"/>
    </dataRefs>
  </dataConsolidate>
  <pageMargins left="0.75" right="0.75" top="1" bottom="1" header="0.5" footer="0.5"/>
  <pageSetup paperSize="9" orientation="portrait" horizontalDpi="300" verticalDpi="300" r:id="rId3"/>
  <headerFooter alignWithMargins="0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1279-A98C-41A8-8182-B94E68CCE50A}">
  <sheetPr>
    <tabColor rgb="FF92D050"/>
  </sheetPr>
  <dimension ref="A1:O33"/>
  <sheetViews>
    <sheetView zoomScale="85" zoomScaleNormal="85" workbookViewId="0">
      <selection activeCell="H3" sqref="H3"/>
    </sheetView>
  </sheetViews>
  <sheetFormatPr defaultRowHeight="12.75"/>
  <cols>
    <col min="1" max="1" width="11.140625" style="15" customWidth="1"/>
    <col min="2" max="2" width="13.28515625" style="15" customWidth="1"/>
    <col min="3" max="3" width="12.5703125" style="15" customWidth="1"/>
    <col min="4" max="5" width="9.140625" style="15"/>
    <col min="6" max="6" width="13.7109375" style="15" customWidth="1"/>
    <col min="7" max="7" width="10.85546875" style="15" customWidth="1"/>
    <col min="8" max="16384" width="9.140625" style="15"/>
  </cols>
  <sheetData>
    <row r="1" spans="1:15">
      <c r="A1" s="15" t="s">
        <v>306</v>
      </c>
    </row>
    <row r="2" spans="1:15" ht="15.75" thickBot="1">
      <c r="I2"/>
      <c r="J2"/>
      <c r="K2"/>
      <c r="L2"/>
      <c r="M2"/>
      <c r="N2"/>
      <c r="O2"/>
    </row>
    <row r="3" spans="1:15" ht="15.75" thickBot="1">
      <c r="A3" s="33" t="s">
        <v>82</v>
      </c>
      <c r="B3" s="32" t="s">
        <v>51</v>
      </c>
      <c r="C3" s="32" t="s">
        <v>50</v>
      </c>
      <c r="D3" s="31" t="s">
        <v>49</v>
      </c>
      <c r="E3" s="30"/>
      <c r="I3"/>
      <c r="J3"/>
      <c r="K3"/>
      <c r="L3"/>
      <c r="M3"/>
      <c r="N3"/>
      <c r="O3"/>
    </row>
    <row r="4" spans="1:15" ht="15.75" thickBot="1">
      <c r="A4" s="29">
        <v>1</v>
      </c>
      <c r="B4" s="29" t="s">
        <v>81</v>
      </c>
      <c r="C4" s="29" t="s">
        <v>55</v>
      </c>
      <c r="D4" s="28">
        <v>5020</v>
      </c>
      <c r="F4" s="103" t="s">
        <v>80</v>
      </c>
      <c r="G4" s="103"/>
      <c r="I4"/>
      <c r="J4"/>
      <c r="K4"/>
      <c r="L4"/>
      <c r="M4"/>
      <c r="N4"/>
      <c r="O4"/>
    </row>
    <row r="5" spans="1:15" ht="15.75" thickBot="1">
      <c r="A5" s="17">
        <v>16</v>
      </c>
      <c r="B5" s="17" t="s">
        <v>79</v>
      </c>
      <c r="C5" s="17" t="s">
        <v>53</v>
      </c>
      <c r="D5" s="16">
        <v>3904</v>
      </c>
      <c r="F5" s="27" t="s">
        <v>50</v>
      </c>
      <c r="G5" s="26" t="s">
        <v>49</v>
      </c>
      <c r="I5"/>
      <c r="J5"/>
      <c r="K5"/>
      <c r="L5"/>
      <c r="M5"/>
      <c r="N5"/>
      <c r="O5"/>
    </row>
    <row r="6" spans="1:15">
      <c r="A6" s="17">
        <v>4</v>
      </c>
      <c r="B6" s="17" t="s">
        <v>78</v>
      </c>
      <c r="C6" s="17" t="s">
        <v>55</v>
      </c>
      <c r="D6" s="16">
        <v>3458</v>
      </c>
      <c r="F6" s="25" t="s">
        <v>55</v>
      </c>
      <c r="G6" s="24">
        <f>SUMIF($C:$C, $F6, $D:$D)</f>
        <v>28468</v>
      </c>
    </row>
    <row r="7" spans="1:15">
      <c r="A7" s="17">
        <v>15</v>
      </c>
      <c r="B7" s="17" t="s">
        <v>77</v>
      </c>
      <c r="C7" s="17" t="s">
        <v>57</v>
      </c>
      <c r="D7" s="16">
        <v>4709</v>
      </c>
      <c r="F7" s="23" t="s">
        <v>53</v>
      </c>
      <c r="G7" s="24">
        <f>SUMIF($C:$C, $F7, $D:$D)</f>
        <v>26238</v>
      </c>
    </row>
    <row r="8" spans="1:15">
      <c r="A8" s="17">
        <v>9</v>
      </c>
      <c r="B8" s="17" t="s">
        <v>76</v>
      </c>
      <c r="C8" s="17" t="s">
        <v>55</v>
      </c>
      <c r="D8" s="16">
        <v>5004</v>
      </c>
      <c r="F8" s="23" t="s">
        <v>57</v>
      </c>
      <c r="G8" s="24">
        <f t="shared" ref="G8:G9" si="0">SUMIF($C:$C, $F8, $D:$D)</f>
        <v>34231</v>
      </c>
    </row>
    <row r="9" spans="1:15" ht="13.5" thickBot="1">
      <c r="A9" s="17">
        <v>19</v>
      </c>
      <c r="B9" s="17" t="s">
        <v>75</v>
      </c>
      <c r="C9" s="17" t="s">
        <v>55</v>
      </c>
      <c r="D9" s="16">
        <v>4239</v>
      </c>
      <c r="F9" s="22" t="s">
        <v>61</v>
      </c>
      <c r="G9" s="21">
        <f t="shared" si="0"/>
        <v>26611</v>
      </c>
    </row>
    <row r="10" spans="1:15">
      <c r="A10" s="17">
        <v>14</v>
      </c>
      <c r="B10" s="17" t="s">
        <v>74</v>
      </c>
      <c r="C10" s="17" t="s">
        <v>53</v>
      </c>
      <c r="D10" s="16">
        <v>3980</v>
      </c>
    </row>
    <row r="11" spans="1:15">
      <c r="A11" s="17">
        <v>18</v>
      </c>
      <c r="B11" s="17" t="s">
        <v>73</v>
      </c>
      <c r="C11" s="17" t="s">
        <v>61</v>
      </c>
      <c r="D11" s="16">
        <v>5077</v>
      </c>
    </row>
    <row r="12" spans="1:15">
      <c r="A12" s="17">
        <v>10</v>
      </c>
      <c r="B12" s="17" t="s">
        <v>72</v>
      </c>
      <c r="C12" s="17" t="s">
        <v>53</v>
      </c>
      <c r="D12" s="16">
        <v>4768</v>
      </c>
    </row>
    <row r="13" spans="1:15">
      <c r="A13" s="17">
        <v>7</v>
      </c>
      <c r="B13" s="17" t="s">
        <v>71</v>
      </c>
      <c r="C13" s="17" t="s">
        <v>53</v>
      </c>
      <c r="D13" s="16">
        <v>4003</v>
      </c>
    </row>
    <row r="14" spans="1:15">
      <c r="A14" s="17">
        <v>12</v>
      </c>
      <c r="B14" s="17" t="s">
        <v>70</v>
      </c>
      <c r="C14" s="17" t="s">
        <v>57</v>
      </c>
      <c r="D14" s="16">
        <v>4832</v>
      </c>
    </row>
    <row r="15" spans="1:15">
      <c r="A15" s="17">
        <v>20</v>
      </c>
      <c r="B15" s="17" t="s">
        <v>69</v>
      </c>
      <c r="C15" s="17" t="s">
        <v>61</v>
      </c>
      <c r="D15" s="16">
        <v>3902</v>
      </c>
    </row>
    <row r="16" spans="1:15">
      <c r="A16" s="17">
        <v>22</v>
      </c>
      <c r="B16" s="17" t="s">
        <v>68</v>
      </c>
      <c r="C16" s="17" t="s">
        <v>57</v>
      </c>
      <c r="D16" s="16">
        <v>5209</v>
      </c>
    </row>
    <row r="17" spans="1:4">
      <c r="A17" s="17">
        <v>13</v>
      </c>
      <c r="B17" s="17" t="s">
        <v>67</v>
      </c>
      <c r="C17" s="17" t="s">
        <v>61</v>
      </c>
      <c r="D17" s="16">
        <v>3998</v>
      </c>
    </row>
    <row r="18" spans="1:4">
      <c r="A18" s="17">
        <v>6</v>
      </c>
      <c r="B18" s="17" t="s">
        <v>66</v>
      </c>
      <c r="C18" s="17" t="s">
        <v>57</v>
      </c>
      <c r="D18" s="16">
        <v>4309</v>
      </c>
    </row>
    <row r="19" spans="1:4">
      <c r="A19" s="17">
        <v>5</v>
      </c>
      <c r="B19" s="17" t="s">
        <v>65</v>
      </c>
      <c r="C19" s="17" t="s">
        <v>61</v>
      </c>
      <c r="D19" s="16">
        <v>4789</v>
      </c>
    </row>
    <row r="20" spans="1:4">
      <c r="A20" s="17">
        <v>11</v>
      </c>
      <c r="B20" s="17" t="s">
        <v>64</v>
      </c>
      <c r="C20" s="17" t="s">
        <v>55</v>
      </c>
      <c r="D20" s="16">
        <v>4569</v>
      </c>
    </row>
    <row r="21" spans="1:4">
      <c r="A21" s="17">
        <v>3</v>
      </c>
      <c r="B21" s="17" t="s">
        <v>63</v>
      </c>
      <c r="C21" s="17" t="s">
        <v>61</v>
      </c>
      <c r="D21" s="16">
        <v>4077</v>
      </c>
    </row>
    <row r="22" spans="1:4">
      <c r="A22" s="17">
        <v>17</v>
      </c>
      <c r="B22" s="17" t="s">
        <v>62</v>
      </c>
      <c r="C22" s="17" t="s">
        <v>61</v>
      </c>
      <c r="D22" s="16">
        <v>4768</v>
      </c>
    </row>
    <row r="23" spans="1:4">
      <c r="A23" s="17">
        <v>8</v>
      </c>
      <c r="B23" s="17" t="s">
        <v>60</v>
      </c>
      <c r="C23" s="17" t="s">
        <v>53</v>
      </c>
      <c r="D23" s="16">
        <v>4598</v>
      </c>
    </row>
    <row r="24" spans="1:4">
      <c r="A24" s="17">
        <v>2</v>
      </c>
      <c r="B24" s="17" t="s">
        <v>59</v>
      </c>
      <c r="C24" s="17" t="s">
        <v>57</v>
      </c>
      <c r="D24" s="16">
        <v>4982</v>
      </c>
    </row>
    <row r="25" spans="1:4">
      <c r="A25" s="17">
        <v>23</v>
      </c>
      <c r="B25" s="17" t="s">
        <v>58</v>
      </c>
      <c r="C25" s="17" t="s">
        <v>57</v>
      </c>
      <c r="D25" s="16">
        <v>4981</v>
      </c>
    </row>
    <row r="26" spans="1:4">
      <c r="A26" s="17">
        <v>24</v>
      </c>
      <c r="B26" s="17" t="s">
        <v>56</v>
      </c>
      <c r="C26" s="17" t="s">
        <v>55</v>
      </c>
      <c r="D26" s="16">
        <v>3089</v>
      </c>
    </row>
    <row r="27" spans="1:4">
      <c r="A27" s="17">
        <v>25</v>
      </c>
      <c r="B27" s="17" t="s">
        <v>54</v>
      </c>
      <c r="C27" s="17" t="s">
        <v>53</v>
      </c>
      <c r="D27" s="16">
        <v>4985</v>
      </c>
    </row>
    <row r="29" spans="1:4">
      <c r="B29" s="102" t="s">
        <v>52</v>
      </c>
      <c r="C29" s="102"/>
    </row>
    <row r="30" spans="1:4" ht="13.5" thickBot="1">
      <c r="A30" s="20"/>
      <c r="B30" s="19" t="s">
        <v>51</v>
      </c>
      <c r="C30" s="19" t="s">
        <v>50</v>
      </c>
      <c r="D30" s="87" t="s">
        <v>49</v>
      </c>
    </row>
    <row r="31" spans="1:4" ht="13.5" thickBot="1">
      <c r="A31" s="18" t="s">
        <v>48</v>
      </c>
      <c r="B31" s="86" t="str">
        <f>INDEX(B$4:B$27, MATCH($D31, $D$4:$D$27, 0))</f>
        <v>Воробьев</v>
      </c>
      <c r="C31" s="86" t="str">
        <f>INDEX(C$4:C$27, MATCH($D31, $D$4:$D$27, 0))</f>
        <v>Россия</v>
      </c>
      <c r="D31" s="88">
        <f>MAX($D4:$D27)</f>
        <v>5209</v>
      </c>
    </row>
    <row r="32" spans="1:4">
      <c r="A32" s="18" t="s">
        <v>47</v>
      </c>
      <c r="B32" s="86" t="str">
        <f>INDEX(B$4:B$27, MATCH($D32, $D$4:$D$27, 0))</f>
        <v>Борисевич</v>
      </c>
      <c r="C32" s="86" t="str">
        <f>INDEX(C$4:C$27, MATCH($D32, $D$4:$D$27, 0))</f>
        <v>Беларусь</v>
      </c>
      <c r="D32" s="88">
        <f>MIN($D5:$D28)</f>
        <v>3089</v>
      </c>
    </row>
    <row r="33" spans="1:4" ht="13.5" thickBot="1">
      <c r="A33" s="100" t="s">
        <v>46</v>
      </c>
      <c r="B33" s="101"/>
      <c r="C33" s="101"/>
      <c r="D33" s="89">
        <f>AVERAGE($D$4:$D$27)</f>
        <v>4468.75</v>
      </c>
    </row>
  </sheetData>
  <mergeCells count="3">
    <mergeCell ref="A33:C33"/>
    <mergeCell ref="B29:C29"/>
    <mergeCell ref="F4:G4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96A2-D2DD-432D-9A37-ED10382F552A}">
  <sheetPr>
    <tabColor rgb="FF92D050"/>
  </sheetPr>
  <dimension ref="A2:B32"/>
  <sheetViews>
    <sheetView workbookViewId="0">
      <selection activeCell="M23" sqref="M23"/>
    </sheetView>
  </sheetViews>
  <sheetFormatPr defaultRowHeight="12.75"/>
  <cols>
    <col min="1" max="1" width="9.140625" style="15"/>
    <col min="2" max="2" width="10.28515625" style="15" bestFit="1" customWidth="1"/>
    <col min="3" max="16384" width="9.140625" style="15"/>
  </cols>
  <sheetData>
    <row r="2" spans="1:2">
      <c r="A2" s="95" t="s">
        <v>44</v>
      </c>
      <c r="B2" s="95" t="s">
        <v>45</v>
      </c>
    </row>
    <row r="3" spans="1:2">
      <c r="A3" s="15" cm="1">
        <f t="array" ref="A3:A32">_xlfn.SEQUENCE(30, 1, 0.1, 0.1)</f>
        <v>0.1</v>
      </c>
      <c r="B3" s="15" cm="1">
        <f t="array" ref="B3:B32">_xlfn.ANCHORARRAY(A3)^3 - EXP(_xlfn.ANCHORARRAY(A3))</f>
        <v>-1.1041709180756478</v>
      </c>
    </row>
    <row r="4" spans="1:2">
      <c r="A4" s="15">
        <v>0.2</v>
      </c>
      <c r="B4" s="15">
        <v>-1.2134027581601698</v>
      </c>
    </row>
    <row r="5" spans="1:2">
      <c r="A5" s="15">
        <v>0.30000000000000004</v>
      </c>
      <c r="B5" s="15">
        <v>-1.3228588075760033</v>
      </c>
    </row>
    <row r="6" spans="1:2">
      <c r="A6" s="15">
        <v>0.4</v>
      </c>
      <c r="B6" s="15">
        <v>-1.4278246976412703</v>
      </c>
    </row>
    <row r="7" spans="1:2">
      <c r="A7" s="15">
        <v>0.5</v>
      </c>
      <c r="B7" s="15">
        <v>-1.5237212707001282</v>
      </c>
    </row>
    <row r="8" spans="1:2">
      <c r="A8" s="15">
        <v>0.6</v>
      </c>
      <c r="B8" s="15">
        <v>-1.6061188003905089</v>
      </c>
    </row>
    <row r="9" spans="1:2">
      <c r="A9" s="15">
        <v>0.7</v>
      </c>
      <c r="B9" s="15">
        <v>-1.6707527074704767</v>
      </c>
    </row>
    <row r="10" spans="1:2">
      <c r="A10" s="15">
        <v>0.79999999999999993</v>
      </c>
      <c r="B10" s="15">
        <v>-1.7135409284924674</v>
      </c>
    </row>
    <row r="11" spans="1:2">
      <c r="A11" s="15">
        <v>0.89999999999999991</v>
      </c>
      <c r="B11" s="15">
        <v>-1.7306031111569498</v>
      </c>
    </row>
    <row r="12" spans="1:2">
      <c r="A12" s="15">
        <v>0.99999999999999989</v>
      </c>
      <c r="B12" s="15">
        <v>-1.7182818284590455</v>
      </c>
    </row>
    <row r="13" spans="1:2">
      <c r="A13" s="15">
        <v>1.0999999999999999</v>
      </c>
      <c r="B13" s="15">
        <v>-1.673166023946433</v>
      </c>
    </row>
    <row r="14" spans="1:2">
      <c r="A14" s="15">
        <v>1.2</v>
      </c>
      <c r="B14" s="15">
        <v>-1.5921169227365473</v>
      </c>
    </row>
    <row r="15" spans="1:2">
      <c r="A15" s="15">
        <v>1.3</v>
      </c>
      <c r="B15" s="15">
        <v>-1.4722966676192439</v>
      </c>
    </row>
    <row r="16" spans="1:2">
      <c r="A16" s="15">
        <v>1.4000000000000001</v>
      </c>
      <c r="B16" s="15">
        <v>-1.3111999668446748</v>
      </c>
    </row>
    <row r="17" spans="1:2">
      <c r="A17" s="15">
        <v>1.5000000000000002</v>
      </c>
      <c r="B17" s="15">
        <v>-1.1066890703380636</v>
      </c>
    </row>
    <row r="18" spans="1:2">
      <c r="A18" s="15">
        <v>1.6000000000000003</v>
      </c>
      <c r="B18" s="15">
        <v>-0.85703242439511484</v>
      </c>
    </row>
    <row r="19" spans="1:2">
      <c r="A19" s="15">
        <v>1.7000000000000004</v>
      </c>
      <c r="B19" s="15">
        <v>-0.56094739172719787</v>
      </c>
    </row>
    <row r="20" spans="1:2">
      <c r="A20" s="15">
        <v>1.8000000000000005</v>
      </c>
      <c r="B20" s="15">
        <v>-0.21764746441294491</v>
      </c>
    </row>
    <row r="21" spans="1:2">
      <c r="A21" s="15">
        <v>1.9000000000000006</v>
      </c>
      <c r="B21" s="15">
        <v>0.17310555772073322</v>
      </c>
    </row>
    <row r="22" spans="1:2">
      <c r="A22" s="15">
        <v>2.0000000000000004</v>
      </c>
      <c r="B22" s="15">
        <v>0.61094390106935226</v>
      </c>
    </row>
    <row r="23" spans="1:2">
      <c r="A23" s="15">
        <v>2.1000000000000005</v>
      </c>
      <c r="B23" s="15">
        <v>1.0948300874323511</v>
      </c>
    </row>
    <row r="24" spans="1:2">
      <c r="A24" s="15">
        <v>2.2000000000000006</v>
      </c>
      <c r="B24" s="15">
        <v>1.6229865005658812</v>
      </c>
    </row>
    <row r="25" spans="1:2">
      <c r="A25" s="15">
        <v>2.3000000000000007</v>
      </c>
      <c r="B25" s="15">
        <v>2.1928175451852852</v>
      </c>
    </row>
    <row r="26" spans="1:2">
      <c r="A26" s="15">
        <v>2.4000000000000008</v>
      </c>
      <c r="B26" s="15">
        <v>2.800823619358404</v>
      </c>
    </row>
    <row r="27" spans="1:2">
      <c r="A27" s="15">
        <v>2.5000000000000009</v>
      </c>
      <c r="B27" s="15">
        <v>3.4425060392965321</v>
      </c>
    </row>
    <row r="28" spans="1:2">
      <c r="A28" s="15">
        <v>2.600000000000001</v>
      </c>
      <c r="B28" s="15">
        <v>4.1122619649983143</v>
      </c>
    </row>
    <row r="29" spans="1:2">
      <c r="A29" s="15">
        <v>2.7000000000000011</v>
      </c>
      <c r="B29" s="15">
        <v>4.8032682751271718</v>
      </c>
    </row>
    <row r="30" spans="1:2">
      <c r="A30" s="15">
        <v>2.8000000000000012</v>
      </c>
      <c r="B30" s="15">
        <v>5.5073532289029572</v>
      </c>
    </row>
    <row r="31" spans="1:2">
      <c r="A31" s="15">
        <v>2.9000000000000012</v>
      </c>
      <c r="B31" s="15">
        <v>6.2148546305569461</v>
      </c>
    </row>
    <row r="32" spans="1:2">
      <c r="A32" s="15">
        <v>3.0000000000000013</v>
      </c>
      <c r="B32" s="15">
        <v>6.9144630768123392</v>
      </c>
    </row>
  </sheetData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ABDA-FBF4-43DD-B588-2D1E18A5982D}">
  <sheetPr>
    <tabColor rgb="FF92D050"/>
  </sheetPr>
  <dimension ref="A1:O22"/>
  <sheetViews>
    <sheetView workbookViewId="0">
      <selection activeCell="P20" sqref="P20"/>
    </sheetView>
  </sheetViews>
  <sheetFormatPr defaultRowHeight="12.75"/>
  <cols>
    <col min="1" max="1" width="15" style="15" customWidth="1"/>
    <col min="2" max="3" width="9.140625" style="15"/>
    <col min="4" max="4" width="13.85546875" style="15" customWidth="1"/>
    <col min="5" max="6" width="9.140625" style="15"/>
    <col min="7" max="7" width="11.85546875" style="15" customWidth="1"/>
    <col min="8" max="256" width="9.140625" style="15"/>
    <col min="257" max="257" width="15" style="15" customWidth="1"/>
    <col min="258" max="259" width="9.140625" style="15"/>
    <col min="260" max="260" width="13.85546875" style="15" customWidth="1"/>
    <col min="261" max="262" width="9.140625" style="15"/>
    <col min="263" max="263" width="31.7109375" style="15" customWidth="1"/>
    <col min="264" max="512" width="9.140625" style="15"/>
    <col min="513" max="513" width="15" style="15" customWidth="1"/>
    <col min="514" max="515" width="9.140625" style="15"/>
    <col min="516" max="516" width="13.85546875" style="15" customWidth="1"/>
    <col min="517" max="518" width="9.140625" style="15"/>
    <col min="519" max="519" width="31.7109375" style="15" customWidth="1"/>
    <col min="520" max="768" width="9.140625" style="15"/>
    <col min="769" max="769" width="15" style="15" customWidth="1"/>
    <col min="770" max="771" width="9.140625" style="15"/>
    <col min="772" max="772" width="13.85546875" style="15" customWidth="1"/>
    <col min="773" max="774" width="9.140625" style="15"/>
    <col min="775" max="775" width="31.7109375" style="15" customWidth="1"/>
    <col min="776" max="1024" width="9.140625" style="15"/>
    <col min="1025" max="1025" width="15" style="15" customWidth="1"/>
    <col min="1026" max="1027" width="9.140625" style="15"/>
    <col min="1028" max="1028" width="13.85546875" style="15" customWidth="1"/>
    <col min="1029" max="1030" width="9.140625" style="15"/>
    <col min="1031" max="1031" width="31.7109375" style="15" customWidth="1"/>
    <col min="1032" max="1280" width="9.140625" style="15"/>
    <col min="1281" max="1281" width="15" style="15" customWidth="1"/>
    <col min="1282" max="1283" width="9.140625" style="15"/>
    <col min="1284" max="1284" width="13.85546875" style="15" customWidth="1"/>
    <col min="1285" max="1286" width="9.140625" style="15"/>
    <col min="1287" max="1287" width="31.7109375" style="15" customWidth="1"/>
    <col min="1288" max="1536" width="9.140625" style="15"/>
    <col min="1537" max="1537" width="15" style="15" customWidth="1"/>
    <col min="1538" max="1539" width="9.140625" style="15"/>
    <col min="1540" max="1540" width="13.85546875" style="15" customWidth="1"/>
    <col min="1541" max="1542" width="9.140625" style="15"/>
    <col min="1543" max="1543" width="31.7109375" style="15" customWidth="1"/>
    <col min="1544" max="1792" width="9.140625" style="15"/>
    <col min="1793" max="1793" width="15" style="15" customWidth="1"/>
    <col min="1794" max="1795" width="9.140625" style="15"/>
    <col min="1796" max="1796" width="13.85546875" style="15" customWidth="1"/>
    <col min="1797" max="1798" width="9.140625" style="15"/>
    <col min="1799" max="1799" width="31.7109375" style="15" customWidth="1"/>
    <col min="1800" max="2048" width="9.140625" style="15"/>
    <col min="2049" max="2049" width="15" style="15" customWidth="1"/>
    <col min="2050" max="2051" width="9.140625" style="15"/>
    <col min="2052" max="2052" width="13.85546875" style="15" customWidth="1"/>
    <col min="2053" max="2054" width="9.140625" style="15"/>
    <col min="2055" max="2055" width="31.7109375" style="15" customWidth="1"/>
    <col min="2056" max="2304" width="9.140625" style="15"/>
    <col min="2305" max="2305" width="15" style="15" customWidth="1"/>
    <col min="2306" max="2307" width="9.140625" style="15"/>
    <col min="2308" max="2308" width="13.85546875" style="15" customWidth="1"/>
    <col min="2309" max="2310" width="9.140625" style="15"/>
    <col min="2311" max="2311" width="31.7109375" style="15" customWidth="1"/>
    <col min="2312" max="2560" width="9.140625" style="15"/>
    <col min="2561" max="2561" width="15" style="15" customWidth="1"/>
    <col min="2562" max="2563" width="9.140625" style="15"/>
    <col min="2564" max="2564" width="13.85546875" style="15" customWidth="1"/>
    <col min="2565" max="2566" width="9.140625" style="15"/>
    <col min="2567" max="2567" width="31.7109375" style="15" customWidth="1"/>
    <col min="2568" max="2816" width="9.140625" style="15"/>
    <col min="2817" max="2817" width="15" style="15" customWidth="1"/>
    <col min="2818" max="2819" width="9.140625" style="15"/>
    <col min="2820" max="2820" width="13.85546875" style="15" customWidth="1"/>
    <col min="2821" max="2822" width="9.140625" style="15"/>
    <col min="2823" max="2823" width="31.7109375" style="15" customWidth="1"/>
    <col min="2824" max="3072" width="9.140625" style="15"/>
    <col min="3073" max="3073" width="15" style="15" customWidth="1"/>
    <col min="3074" max="3075" width="9.140625" style="15"/>
    <col min="3076" max="3076" width="13.85546875" style="15" customWidth="1"/>
    <col min="3077" max="3078" width="9.140625" style="15"/>
    <col min="3079" max="3079" width="31.7109375" style="15" customWidth="1"/>
    <col min="3080" max="3328" width="9.140625" style="15"/>
    <col min="3329" max="3329" width="15" style="15" customWidth="1"/>
    <col min="3330" max="3331" width="9.140625" style="15"/>
    <col min="3332" max="3332" width="13.85546875" style="15" customWidth="1"/>
    <col min="3333" max="3334" width="9.140625" style="15"/>
    <col min="3335" max="3335" width="31.7109375" style="15" customWidth="1"/>
    <col min="3336" max="3584" width="9.140625" style="15"/>
    <col min="3585" max="3585" width="15" style="15" customWidth="1"/>
    <col min="3586" max="3587" width="9.140625" style="15"/>
    <col min="3588" max="3588" width="13.85546875" style="15" customWidth="1"/>
    <col min="3589" max="3590" width="9.140625" style="15"/>
    <col min="3591" max="3591" width="31.7109375" style="15" customWidth="1"/>
    <col min="3592" max="3840" width="9.140625" style="15"/>
    <col min="3841" max="3841" width="15" style="15" customWidth="1"/>
    <col min="3842" max="3843" width="9.140625" style="15"/>
    <col min="3844" max="3844" width="13.85546875" style="15" customWidth="1"/>
    <col min="3845" max="3846" width="9.140625" style="15"/>
    <col min="3847" max="3847" width="31.7109375" style="15" customWidth="1"/>
    <col min="3848" max="4096" width="9.140625" style="15"/>
    <col min="4097" max="4097" width="15" style="15" customWidth="1"/>
    <col min="4098" max="4099" width="9.140625" style="15"/>
    <col min="4100" max="4100" width="13.85546875" style="15" customWidth="1"/>
    <col min="4101" max="4102" width="9.140625" style="15"/>
    <col min="4103" max="4103" width="31.7109375" style="15" customWidth="1"/>
    <col min="4104" max="4352" width="9.140625" style="15"/>
    <col min="4353" max="4353" width="15" style="15" customWidth="1"/>
    <col min="4354" max="4355" width="9.140625" style="15"/>
    <col min="4356" max="4356" width="13.85546875" style="15" customWidth="1"/>
    <col min="4357" max="4358" width="9.140625" style="15"/>
    <col min="4359" max="4359" width="31.7109375" style="15" customWidth="1"/>
    <col min="4360" max="4608" width="9.140625" style="15"/>
    <col min="4609" max="4609" width="15" style="15" customWidth="1"/>
    <col min="4610" max="4611" width="9.140625" style="15"/>
    <col min="4612" max="4612" width="13.85546875" style="15" customWidth="1"/>
    <col min="4613" max="4614" width="9.140625" style="15"/>
    <col min="4615" max="4615" width="31.7109375" style="15" customWidth="1"/>
    <col min="4616" max="4864" width="9.140625" style="15"/>
    <col min="4865" max="4865" width="15" style="15" customWidth="1"/>
    <col min="4866" max="4867" width="9.140625" style="15"/>
    <col min="4868" max="4868" width="13.85546875" style="15" customWidth="1"/>
    <col min="4869" max="4870" width="9.140625" style="15"/>
    <col min="4871" max="4871" width="31.7109375" style="15" customWidth="1"/>
    <col min="4872" max="5120" width="9.140625" style="15"/>
    <col min="5121" max="5121" width="15" style="15" customWidth="1"/>
    <col min="5122" max="5123" width="9.140625" style="15"/>
    <col min="5124" max="5124" width="13.85546875" style="15" customWidth="1"/>
    <col min="5125" max="5126" width="9.140625" style="15"/>
    <col min="5127" max="5127" width="31.7109375" style="15" customWidth="1"/>
    <col min="5128" max="5376" width="9.140625" style="15"/>
    <col min="5377" max="5377" width="15" style="15" customWidth="1"/>
    <col min="5378" max="5379" width="9.140625" style="15"/>
    <col min="5380" max="5380" width="13.85546875" style="15" customWidth="1"/>
    <col min="5381" max="5382" width="9.140625" style="15"/>
    <col min="5383" max="5383" width="31.7109375" style="15" customWidth="1"/>
    <col min="5384" max="5632" width="9.140625" style="15"/>
    <col min="5633" max="5633" width="15" style="15" customWidth="1"/>
    <col min="5634" max="5635" width="9.140625" style="15"/>
    <col min="5636" max="5636" width="13.85546875" style="15" customWidth="1"/>
    <col min="5637" max="5638" width="9.140625" style="15"/>
    <col min="5639" max="5639" width="31.7109375" style="15" customWidth="1"/>
    <col min="5640" max="5888" width="9.140625" style="15"/>
    <col min="5889" max="5889" width="15" style="15" customWidth="1"/>
    <col min="5890" max="5891" width="9.140625" style="15"/>
    <col min="5892" max="5892" width="13.85546875" style="15" customWidth="1"/>
    <col min="5893" max="5894" width="9.140625" style="15"/>
    <col min="5895" max="5895" width="31.7109375" style="15" customWidth="1"/>
    <col min="5896" max="6144" width="9.140625" style="15"/>
    <col min="6145" max="6145" width="15" style="15" customWidth="1"/>
    <col min="6146" max="6147" width="9.140625" style="15"/>
    <col min="6148" max="6148" width="13.85546875" style="15" customWidth="1"/>
    <col min="6149" max="6150" width="9.140625" style="15"/>
    <col min="6151" max="6151" width="31.7109375" style="15" customWidth="1"/>
    <col min="6152" max="6400" width="9.140625" style="15"/>
    <col min="6401" max="6401" width="15" style="15" customWidth="1"/>
    <col min="6402" max="6403" width="9.140625" style="15"/>
    <col min="6404" max="6404" width="13.85546875" style="15" customWidth="1"/>
    <col min="6405" max="6406" width="9.140625" style="15"/>
    <col min="6407" max="6407" width="31.7109375" style="15" customWidth="1"/>
    <col min="6408" max="6656" width="9.140625" style="15"/>
    <col min="6657" max="6657" width="15" style="15" customWidth="1"/>
    <col min="6658" max="6659" width="9.140625" style="15"/>
    <col min="6660" max="6660" width="13.85546875" style="15" customWidth="1"/>
    <col min="6661" max="6662" width="9.140625" style="15"/>
    <col min="6663" max="6663" width="31.7109375" style="15" customWidth="1"/>
    <col min="6664" max="6912" width="9.140625" style="15"/>
    <col min="6913" max="6913" width="15" style="15" customWidth="1"/>
    <col min="6914" max="6915" width="9.140625" style="15"/>
    <col min="6916" max="6916" width="13.85546875" style="15" customWidth="1"/>
    <col min="6917" max="6918" width="9.140625" style="15"/>
    <col min="6919" max="6919" width="31.7109375" style="15" customWidth="1"/>
    <col min="6920" max="7168" width="9.140625" style="15"/>
    <col min="7169" max="7169" width="15" style="15" customWidth="1"/>
    <col min="7170" max="7171" width="9.140625" style="15"/>
    <col min="7172" max="7172" width="13.85546875" style="15" customWidth="1"/>
    <col min="7173" max="7174" width="9.140625" style="15"/>
    <col min="7175" max="7175" width="31.7109375" style="15" customWidth="1"/>
    <col min="7176" max="7424" width="9.140625" style="15"/>
    <col min="7425" max="7425" width="15" style="15" customWidth="1"/>
    <col min="7426" max="7427" width="9.140625" style="15"/>
    <col min="7428" max="7428" width="13.85546875" style="15" customWidth="1"/>
    <col min="7429" max="7430" width="9.140625" style="15"/>
    <col min="7431" max="7431" width="31.7109375" style="15" customWidth="1"/>
    <col min="7432" max="7680" width="9.140625" style="15"/>
    <col min="7681" max="7681" width="15" style="15" customWidth="1"/>
    <col min="7682" max="7683" width="9.140625" style="15"/>
    <col min="7684" max="7684" width="13.85546875" style="15" customWidth="1"/>
    <col min="7685" max="7686" width="9.140625" style="15"/>
    <col min="7687" max="7687" width="31.7109375" style="15" customWidth="1"/>
    <col min="7688" max="7936" width="9.140625" style="15"/>
    <col min="7937" max="7937" width="15" style="15" customWidth="1"/>
    <col min="7938" max="7939" width="9.140625" style="15"/>
    <col min="7940" max="7940" width="13.85546875" style="15" customWidth="1"/>
    <col min="7941" max="7942" width="9.140625" style="15"/>
    <col min="7943" max="7943" width="31.7109375" style="15" customWidth="1"/>
    <col min="7944" max="8192" width="9.140625" style="15"/>
    <col min="8193" max="8193" width="15" style="15" customWidth="1"/>
    <col min="8194" max="8195" width="9.140625" style="15"/>
    <col min="8196" max="8196" width="13.85546875" style="15" customWidth="1"/>
    <col min="8197" max="8198" width="9.140625" style="15"/>
    <col min="8199" max="8199" width="31.7109375" style="15" customWidth="1"/>
    <col min="8200" max="8448" width="9.140625" style="15"/>
    <col min="8449" max="8449" width="15" style="15" customWidth="1"/>
    <col min="8450" max="8451" width="9.140625" style="15"/>
    <col min="8452" max="8452" width="13.85546875" style="15" customWidth="1"/>
    <col min="8453" max="8454" width="9.140625" style="15"/>
    <col min="8455" max="8455" width="31.7109375" style="15" customWidth="1"/>
    <col min="8456" max="8704" width="9.140625" style="15"/>
    <col min="8705" max="8705" width="15" style="15" customWidth="1"/>
    <col min="8706" max="8707" width="9.140625" style="15"/>
    <col min="8708" max="8708" width="13.85546875" style="15" customWidth="1"/>
    <col min="8709" max="8710" width="9.140625" style="15"/>
    <col min="8711" max="8711" width="31.7109375" style="15" customWidth="1"/>
    <col min="8712" max="8960" width="9.140625" style="15"/>
    <col min="8961" max="8961" width="15" style="15" customWidth="1"/>
    <col min="8962" max="8963" width="9.140625" style="15"/>
    <col min="8964" max="8964" width="13.85546875" style="15" customWidth="1"/>
    <col min="8965" max="8966" width="9.140625" style="15"/>
    <col min="8967" max="8967" width="31.7109375" style="15" customWidth="1"/>
    <col min="8968" max="9216" width="9.140625" style="15"/>
    <col min="9217" max="9217" width="15" style="15" customWidth="1"/>
    <col min="9218" max="9219" width="9.140625" style="15"/>
    <col min="9220" max="9220" width="13.85546875" style="15" customWidth="1"/>
    <col min="9221" max="9222" width="9.140625" style="15"/>
    <col min="9223" max="9223" width="31.7109375" style="15" customWidth="1"/>
    <col min="9224" max="9472" width="9.140625" style="15"/>
    <col min="9473" max="9473" width="15" style="15" customWidth="1"/>
    <col min="9474" max="9475" width="9.140625" style="15"/>
    <col min="9476" max="9476" width="13.85546875" style="15" customWidth="1"/>
    <col min="9477" max="9478" width="9.140625" style="15"/>
    <col min="9479" max="9479" width="31.7109375" style="15" customWidth="1"/>
    <col min="9480" max="9728" width="9.140625" style="15"/>
    <col min="9729" max="9729" width="15" style="15" customWidth="1"/>
    <col min="9730" max="9731" width="9.140625" style="15"/>
    <col min="9732" max="9732" width="13.85546875" style="15" customWidth="1"/>
    <col min="9733" max="9734" width="9.140625" style="15"/>
    <col min="9735" max="9735" width="31.7109375" style="15" customWidth="1"/>
    <col min="9736" max="9984" width="9.140625" style="15"/>
    <col min="9985" max="9985" width="15" style="15" customWidth="1"/>
    <col min="9986" max="9987" width="9.140625" style="15"/>
    <col min="9988" max="9988" width="13.85546875" style="15" customWidth="1"/>
    <col min="9989" max="9990" width="9.140625" style="15"/>
    <col min="9991" max="9991" width="31.7109375" style="15" customWidth="1"/>
    <col min="9992" max="10240" width="9.140625" style="15"/>
    <col min="10241" max="10241" width="15" style="15" customWidth="1"/>
    <col min="10242" max="10243" width="9.140625" style="15"/>
    <col min="10244" max="10244" width="13.85546875" style="15" customWidth="1"/>
    <col min="10245" max="10246" width="9.140625" style="15"/>
    <col min="10247" max="10247" width="31.7109375" style="15" customWidth="1"/>
    <col min="10248" max="10496" width="9.140625" style="15"/>
    <col min="10497" max="10497" width="15" style="15" customWidth="1"/>
    <col min="10498" max="10499" width="9.140625" style="15"/>
    <col min="10500" max="10500" width="13.85546875" style="15" customWidth="1"/>
    <col min="10501" max="10502" width="9.140625" style="15"/>
    <col min="10503" max="10503" width="31.7109375" style="15" customWidth="1"/>
    <col min="10504" max="10752" width="9.140625" style="15"/>
    <col min="10753" max="10753" width="15" style="15" customWidth="1"/>
    <col min="10754" max="10755" width="9.140625" style="15"/>
    <col min="10756" max="10756" width="13.85546875" style="15" customWidth="1"/>
    <col min="10757" max="10758" width="9.140625" style="15"/>
    <col min="10759" max="10759" width="31.7109375" style="15" customWidth="1"/>
    <col min="10760" max="11008" width="9.140625" style="15"/>
    <col min="11009" max="11009" width="15" style="15" customWidth="1"/>
    <col min="11010" max="11011" width="9.140625" style="15"/>
    <col min="11012" max="11012" width="13.85546875" style="15" customWidth="1"/>
    <col min="11013" max="11014" width="9.140625" style="15"/>
    <col min="11015" max="11015" width="31.7109375" style="15" customWidth="1"/>
    <col min="11016" max="11264" width="9.140625" style="15"/>
    <col min="11265" max="11265" width="15" style="15" customWidth="1"/>
    <col min="11266" max="11267" width="9.140625" style="15"/>
    <col min="11268" max="11268" width="13.85546875" style="15" customWidth="1"/>
    <col min="11269" max="11270" width="9.140625" style="15"/>
    <col min="11271" max="11271" width="31.7109375" style="15" customWidth="1"/>
    <col min="11272" max="11520" width="9.140625" style="15"/>
    <col min="11521" max="11521" width="15" style="15" customWidth="1"/>
    <col min="11522" max="11523" width="9.140625" style="15"/>
    <col min="11524" max="11524" width="13.85546875" style="15" customWidth="1"/>
    <col min="11525" max="11526" width="9.140625" style="15"/>
    <col min="11527" max="11527" width="31.7109375" style="15" customWidth="1"/>
    <col min="11528" max="11776" width="9.140625" style="15"/>
    <col min="11777" max="11777" width="15" style="15" customWidth="1"/>
    <col min="11778" max="11779" width="9.140625" style="15"/>
    <col min="11780" max="11780" width="13.85546875" style="15" customWidth="1"/>
    <col min="11781" max="11782" width="9.140625" style="15"/>
    <col min="11783" max="11783" width="31.7109375" style="15" customWidth="1"/>
    <col min="11784" max="12032" width="9.140625" style="15"/>
    <col min="12033" max="12033" width="15" style="15" customWidth="1"/>
    <col min="12034" max="12035" width="9.140625" style="15"/>
    <col min="12036" max="12036" width="13.85546875" style="15" customWidth="1"/>
    <col min="12037" max="12038" width="9.140625" style="15"/>
    <col min="12039" max="12039" width="31.7109375" style="15" customWidth="1"/>
    <col min="12040" max="12288" width="9.140625" style="15"/>
    <col min="12289" max="12289" width="15" style="15" customWidth="1"/>
    <col min="12290" max="12291" width="9.140625" style="15"/>
    <col min="12292" max="12292" width="13.85546875" style="15" customWidth="1"/>
    <col min="12293" max="12294" width="9.140625" style="15"/>
    <col min="12295" max="12295" width="31.7109375" style="15" customWidth="1"/>
    <col min="12296" max="12544" width="9.140625" style="15"/>
    <col min="12545" max="12545" width="15" style="15" customWidth="1"/>
    <col min="12546" max="12547" width="9.140625" style="15"/>
    <col min="12548" max="12548" width="13.85546875" style="15" customWidth="1"/>
    <col min="12549" max="12550" width="9.140625" style="15"/>
    <col min="12551" max="12551" width="31.7109375" style="15" customWidth="1"/>
    <col min="12552" max="12800" width="9.140625" style="15"/>
    <col min="12801" max="12801" width="15" style="15" customWidth="1"/>
    <col min="12802" max="12803" width="9.140625" style="15"/>
    <col min="12804" max="12804" width="13.85546875" style="15" customWidth="1"/>
    <col min="12805" max="12806" width="9.140625" style="15"/>
    <col min="12807" max="12807" width="31.7109375" style="15" customWidth="1"/>
    <col min="12808" max="13056" width="9.140625" style="15"/>
    <col min="13057" max="13057" width="15" style="15" customWidth="1"/>
    <col min="13058" max="13059" width="9.140625" style="15"/>
    <col min="13060" max="13060" width="13.85546875" style="15" customWidth="1"/>
    <col min="13061" max="13062" width="9.140625" style="15"/>
    <col min="13063" max="13063" width="31.7109375" style="15" customWidth="1"/>
    <col min="13064" max="13312" width="9.140625" style="15"/>
    <col min="13313" max="13313" width="15" style="15" customWidth="1"/>
    <col min="13314" max="13315" width="9.140625" style="15"/>
    <col min="13316" max="13316" width="13.85546875" style="15" customWidth="1"/>
    <col min="13317" max="13318" width="9.140625" style="15"/>
    <col min="13319" max="13319" width="31.7109375" style="15" customWidth="1"/>
    <col min="13320" max="13568" width="9.140625" style="15"/>
    <col min="13569" max="13569" width="15" style="15" customWidth="1"/>
    <col min="13570" max="13571" width="9.140625" style="15"/>
    <col min="13572" max="13572" width="13.85546875" style="15" customWidth="1"/>
    <col min="13573" max="13574" width="9.140625" style="15"/>
    <col min="13575" max="13575" width="31.7109375" style="15" customWidth="1"/>
    <col min="13576" max="13824" width="9.140625" style="15"/>
    <col min="13825" max="13825" width="15" style="15" customWidth="1"/>
    <col min="13826" max="13827" width="9.140625" style="15"/>
    <col min="13828" max="13828" width="13.85546875" style="15" customWidth="1"/>
    <col min="13829" max="13830" width="9.140625" style="15"/>
    <col min="13831" max="13831" width="31.7109375" style="15" customWidth="1"/>
    <col min="13832" max="14080" width="9.140625" style="15"/>
    <col min="14081" max="14081" width="15" style="15" customWidth="1"/>
    <col min="14082" max="14083" width="9.140625" style="15"/>
    <col min="14084" max="14084" width="13.85546875" style="15" customWidth="1"/>
    <col min="14085" max="14086" width="9.140625" style="15"/>
    <col min="14087" max="14087" width="31.7109375" style="15" customWidth="1"/>
    <col min="14088" max="14336" width="9.140625" style="15"/>
    <col min="14337" max="14337" width="15" style="15" customWidth="1"/>
    <col min="14338" max="14339" width="9.140625" style="15"/>
    <col min="14340" max="14340" width="13.85546875" style="15" customWidth="1"/>
    <col min="14341" max="14342" width="9.140625" style="15"/>
    <col min="14343" max="14343" width="31.7109375" style="15" customWidth="1"/>
    <col min="14344" max="14592" width="9.140625" style="15"/>
    <col min="14593" max="14593" width="15" style="15" customWidth="1"/>
    <col min="14594" max="14595" width="9.140625" style="15"/>
    <col min="14596" max="14596" width="13.85546875" style="15" customWidth="1"/>
    <col min="14597" max="14598" width="9.140625" style="15"/>
    <col min="14599" max="14599" width="31.7109375" style="15" customWidth="1"/>
    <col min="14600" max="14848" width="9.140625" style="15"/>
    <col min="14849" max="14849" width="15" style="15" customWidth="1"/>
    <col min="14850" max="14851" width="9.140625" style="15"/>
    <col min="14852" max="14852" width="13.85546875" style="15" customWidth="1"/>
    <col min="14853" max="14854" width="9.140625" style="15"/>
    <col min="14855" max="14855" width="31.7109375" style="15" customWidth="1"/>
    <col min="14856" max="15104" width="9.140625" style="15"/>
    <col min="15105" max="15105" width="15" style="15" customWidth="1"/>
    <col min="15106" max="15107" width="9.140625" style="15"/>
    <col min="15108" max="15108" width="13.85546875" style="15" customWidth="1"/>
    <col min="15109" max="15110" width="9.140625" style="15"/>
    <col min="15111" max="15111" width="31.7109375" style="15" customWidth="1"/>
    <col min="15112" max="15360" width="9.140625" style="15"/>
    <col min="15361" max="15361" width="15" style="15" customWidth="1"/>
    <col min="15362" max="15363" width="9.140625" style="15"/>
    <col min="15364" max="15364" width="13.85546875" style="15" customWidth="1"/>
    <col min="15365" max="15366" width="9.140625" style="15"/>
    <col min="15367" max="15367" width="31.7109375" style="15" customWidth="1"/>
    <col min="15368" max="15616" width="9.140625" style="15"/>
    <col min="15617" max="15617" width="15" style="15" customWidth="1"/>
    <col min="15618" max="15619" width="9.140625" style="15"/>
    <col min="15620" max="15620" width="13.85546875" style="15" customWidth="1"/>
    <col min="15621" max="15622" width="9.140625" style="15"/>
    <col min="15623" max="15623" width="31.7109375" style="15" customWidth="1"/>
    <col min="15624" max="15872" width="9.140625" style="15"/>
    <col min="15873" max="15873" width="15" style="15" customWidth="1"/>
    <col min="15874" max="15875" width="9.140625" style="15"/>
    <col min="15876" max="15876" width="13.85546875" style="15" customWidth="1"/>
    <col min="15877" max="15878" width="9.140625" style="15"/>
    <col min="15879" max="15879" width="31.7109375" style="15" customWidth="1"/>
    <col min="15880" max="16128" width="9.140625" style="15"/>
    <col min="16129" max="16129" width="15" style="15" customWidth="1"/>
    <col min="16130" max="16131" width="9.140625" style="15"/>
    <col min="16132" max="16132" width="13.85546875" style="15" customWidth="1"/>
    <col min="16133" max="16134" width="9.140625" style="15"/>
    <col min="16135" max="16135" width="31.7109375" style="15" customWidth="1"/>
    <col min="16136" max="16384" width="9.140625" style="15"/>
  </cols>
  <sheetData>
    <row r="1" spans="1:15" ht="17.25" customHeight="1">
      <c r="A1" s="39" t="s">
        <v>95</v>
      </c>
      <c r="B1" s="40"/>
      <c r="C1" s="40"/>
      <c r="D1" s="40"/>
      <c r="E1" s="40"/>
    </row>
    <row r="2" spans="1:15" ht="13.5" thickBot="1"/>
    <row r="3" spans="1:15" ht="15.75" thickBot="1">
      <c r="B3" s="27" t="s">
        <v>96</v>
      </c>
      <c r="C3" s="26" t="s">
        <v>97</v>
      </c>
      <c r="F3"/>
      <c r="G3"/>
      <c r="H3"/>
      <c r="I3"/>
      <c r="J3"/>
      <c r="K3"/>
      <c r="L3"/>
      <c r="M3"/>
      <c r="N3"/>
      <c r="O3"/>
    </row>
    <row r="4" spans="1:15" ht="15.75" thickBot="1">
      <c r="B4" s="41">
        <v>132.69999999999999</v>
      </c>
      <c r="C4" s="42">
        <v>23.6</v>
      </c>
      <c r="F4"/>
      <c r="G4"/>
      <c r="H4"/>
      <c r="I4"/>
      <c r="J4"/>
      <c r="K4"/>
      <c r="L4"/>
      <c r="M4"/>
      <c r="N4"/>
      <c r="O4"/>
    </row>
    <row r="5" spans="1:15" ht="15">
      <c r="F5"/>
      <c r="G5"/>
      <c r="H5"/>
      <c r="I5"/>
      <c r="J5"/>
      <c r="K5"/>
      <c r="L5"/>
      <c r="M5"/>
      <c r="N5"/>
      <c r="O5"/>
    </row>
    <row r="6" spans="1:15" ht="15">
      <c r="F6"/>
      <c r="G6"/>
      <c r="H6"/>
      <c r="I6"/>
      <c r="J6"/>
      <c r="K6"/>
      <c r="L6"/>
      <c r="M6"/>
      <c r="N6"/>
      <c r="O6"/>
    </row>
    <row r="7" spans="1:15" ht="23.25" customHeight="1">
      <c r="A7" s="104" t="s">
        <v>98</v>
      </c>
      <c r="B7" s="104"/>
      <c r="C7" s="104"/>
      <c r="D7" s="104"/>
      <c r="F7"/>
      <c r="G7"/>
      <c r="H7"/>
      <c r="I7"/>
      <c r="J7"/>
      <c r="K7"/>
      <c r="L7"/>
      <c r="M7"/>
      <c r="N7"/>
      <c r="O7"/>
    </row>
    <row r="8" spans="1:15" ht="31.5" customHeight="1">
      <c r="A8" s="43" t="s">
        <v>99</v>
      </c>
      <c r="B8" s="43" t="s">
        <v>100</v>
      </c>
      <c r="C8" s="43" t="s">
        <v>101</v>
      </c>
      <c r="D8" s="43" t="s">
        <v>102</v>
      </c>
      <c r="F8"/>
      <c r="G8"/>
      <c r="H8"/>
      <c r="I8"/>
      <c r="J8"/>
      <c r="K8"/>
      <c r="L8"/>
      <c r="M8"/>
      <c r="N8"/>
      <c r="O8"/>
    </row>
    <row r="9" spans="1:15" ht="15">
      <c r="A9" s="16">
        <v>1</v>
      </c>
      <c r="B9" s="17">
        <v>234.7</v>
      </c>
      <c r="C9" s="17">
        <v>45.7</v>
      </c>
      <c r="D9" s="44">
        <f>SQRT((B9-$B$4)^2 + (C9 - $C$4)^2)</f>
        <v>104.36670925156163</v>
      </c>
      <c r="F9"/>
      <c r="G9"/>
      <c r="H9"/>
      <c r="I9"/>
      <c r="J9"/>
      <c r="K9"/>
      <c r="L9"/>
      <c r="M9"/>
      <c r="N9"/>
      <c r="O9"/>
    </row>
    <row r="10" spans="1:15" ht="15">
      <c r="A10" s="16">
        <v>2</v>
      </c>
      <c r="B10" s="17">
        <v>23.89</v>
      </c>
      <c r="C10" s="17">
        <v>345.9</v>
      </c>
      <c r="D10" s="44">
        <f t="shared" ref="D10:D20" si="0">SQRT((B10-$B$4)^2 + (C10 - $C$4)^2)</f>
        <v>340.17187729146565</v>
      </c>
      <c r="F10"/>
      <c r="G10"/>
      <c r="H10"/>
      <c r="I10"/>
      <c r="J10"/>
      <c r="K10"/>
      <c r="L10"/>
      <c r="M10"/>
      <c r="N10"/>
      <c r="O10"/>
    </row>
    <row r="11" spans="1:15">
      <c r="A11" s="16">
        <v>3</v>
      </c>
      <c r="B11" s="17">
        <v>456.9</v>
      </c>
      <c r="C11" s="17">
        <v>345.9</v>
      </c>
      <c r="D11" s="44">
        <f t="shared" si="0"/>
        <v>457.14650824434824</v>
      </c>
    </row>
    <row r="12" spans="1:15">
      <c r="A12" s="16">
        <v>4</v>
      </c>
      <c r="B12" s="17">
        <v>120.1</v>
      </c>
      <c r="C12" s="17">
        <v>222.9</v>
      </c>
      <c r="D12" s="44">
        <f t="shared" si="0"/>
        <v>199.69789683419305</v>
      </c>
    </row>
    <row r="13" spans="1:15">
      <c r="A13" s="16">
        <v>5</v>
      </c>
      <c r="B13" s="17">
        <v>301</v>
      </c>
      <c r="C13" s="17">
        <v>23.9</v>
      </c>
      <c r="D13" s="44">
        <f t="shared" si="0"/>
        <v>168.30026737946676</v>
      </c>
    </row>
    <row r="14" spans="1:15">
      <c r="A14" s="16">
        <v>6</v>
      </c>
      <c r="B14" s="17">
        <v>177.5</v>
      </c>
      <c r="C14" s="17">
        <v>56.8</v>
      </c>
      <c r="D14" s="44">
        <f t="shared" si="0"/>
        <v>55.760918213386702</v>
      </c>
    </row>
    <row r="15" spans="1:15">
      <c r="A15" s="16">
        <v>7</v>
      </c>
      <c r="B15" s="17">
        <v>198.9</v>
      </c>
      <c r="C15" s="17">
        <v>100.7</v>
      </c>
      <c r="D15" s="44">
        <f t="shared" si="0"/>
        <v>101.62111001165064</v>
      </c>
    </row>
    <row r="16" spans="1:15">
      <c r="A16" s="16">
        <v>8</v>
      </c>
      <c r="B16" s="17">
        <v>67.900000000000006</v>
      </c>
      <c r="C16" s="17">
        <v>198.7</v>
      </c>
      <c r="D16" s="44">
        <f t="shared" si="0"/>
        <v>186.70578459169388</v>
      </c>
    </row>
    <row r="17" spans="1:4">
      <c r="A17" s="16">
        <v>9</v>
      </c>
      <c r="B17" s="17">
        <v>347.8</v>
      </c>
      <c r="C17" s="17">
        <v>20.77</v>
      </c>
      <c r="D17" s="44">
        <f t="shared" si="0"/>
        <v>215.11861588435346</v>
      </c>
    </row>
    <row r="18" spans="1:4">
      <c r="A18" s="16">
        <v>10</v>
      </c>
      <c r="B18" s="17">
        <v>45.9</v>
      </c>
      <c r="C18" s="17">
        <v>239.8</v>
      </c>
      <c r="D18" s="44">
        <f t="shared" si="0"/>
        <v>232.97356073168476</v>
      </c>
    </row>
    <row r="19" spans="1:4">
      <c r="A19" s="16">
        <v>11</v>
      </c>
      <c r="B19" s="17">
        <v>100.7</v>
      </c>
      <c r="C19" s="17">
        <v>201.7</v>
      </c>
      <c r="D19" s="44">
        <f t="shared" si="0"/>
        <v>180.95195494937323</v>
      </c>
    </row>
    <row r="20" spans="1:4">
      <c r="A20" s="16">
        <v>12</v>
      </c>
      <c r="B20" s="17">
        <v>99.7</v>
      </c>
      <c r="C20" s="17">
        <v>100.4</v>
      </c>
      <c r="D20" s="44">
        <f t="shared" si="0"/>
        <v>83.589712285663481</v>
      </c>
    </row>
    <row r="21" spans="1:4">
      <c r="C21" s="45" t="s">
        <v>103</v>
      </c>
      <c r="D21" s="44">
        <f>MIN(D9:D20)</f>
        <v>55.760918213386702</v>
      </c>
    </row>
    <row r="22" spans="1:4">
      <c r="D22" s="99"/>
    </row>
  </sheetData>
  <mergeCells count="1">
    <mergeCell ref="A7:D7"/>
  </mergeCells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A1F1-F56D-46EF-A086-C84378CB4FB0}">
  <sheetPr>
    <tabColor rgb="FF92D050"/>
  </sheetPr>
  <dimension ref="A1:Q35"/>
  <sheetViews>
    <sheetView workbookViewId="0">
      <selection activeCell="D7" sqref="D7"/>
    </sheetView>
  </sheetViews>
  <sheetFormatPr defaultRowHeight="12.75"/>
  <cols>
    <col min="1" max="1" width="17.42578125" style="15" customWidth="1"/>
    <col min="2" max="2" width="17.85546875" style="15" customWidth="1"/>
    <col min="3" max="3" width="18" style="15" customWidth="1"/>
    <col min="4" max="16384" width="9.140625" style="15"/>
  </cols>
  <sheetData>
    <row r="1" spans="1:17" ht="27.75" customHeight="1">
      <c r="A1" s="94" t="s">
        <v>307</v>
      </c>
      <c r="B1" s="94" t="s">
        <v>308</v>
      </c>
      <c r="C1" s="94" t="s">
        <v>309</v>
      </c>
    </row>
    <row r="2" spans="1:17">
      <c r="A2" s="62" t="s">
        <v>200</v>
      </c>
      <c r="B2" s="62" t="s">
        <v>199</v>
      </c>
      <c r="C2" s="92" t="s">
        <v>198</v>
      </c>
    </row>
    <row r="3" spans="1:17">
      <c r="A3" s="62" t="s">
        <v>197</v>
      </c>
      <c r="B3" s="62" t="s">
        <v>176</v>
      </c>
      <c r="C3" s="93" t="str">
        <f>_xlfn.TEXTJOIN(" ", TRUE, A3, B3)</f>
        <v>Гаврилова Елена</v>
      </c>
    </row>
    <row r="4" spans="1:17" ht="15">
      <c r="A4" s="62" t="s">
        <v>196</v>
      </c>
      <c r="B4" s="62" t="s">
        <v>195</v>
      </c>
      <c r="C4" s="93" t="str">
        <f t="shared" ref="C4:C35" si="0">_xlfn.TEXTJOIN(" ", TRUE, A4, B4)</f>
        <v>Гуреев Андрей</v>
      </c>
      <c r="F4"/>
      <c r="G4"/>
      <c r="H4"/>
      <c r="I4"/>
      <c r="J4"/>
      <c r="K4"/>
      <c r="L4"/>
      <c r="M4"/>
      <c r="N4"/>
      <c r="O4"/>
      <c r="P4"/>
      <c r="Q4"/>
    </row>
    <row r="5" spans="1:17" ht="15">
      <c r="A5" s="62" t="s">
        <v>194</v>
      </c>
      <c r="B5" s="62" t="s">
        <v>193</v>
      </c>
      <c r="C5" s="93" t="str">
        <f t="shared" si="0"/>
        <v>Данилова Мария</v>
      </c>
      <c r="F5"/>
      <c r="G5"/>
      <c r="H5"/>
      <c r="I5"/>
      <c r="J5"/>
      <c r="K5"/>
      <c r="L5"/>
      <c r="M5"/>
      <c r="N5"/>
      <c r="O5"/>
      <c r="P5"/>
      <c r="Q5"/>
    </row>
    <row r="6" spans="1:17" ht="15">
      <c r="A6" s="62" t="s">
        <v>192</v>
      </c>
      <c r="B6" s="62" t="s">
        <v>171</v>
      </c>
      <c r="C6" s="93" t="str">
        <f t="shared" si="0"/>
        <v>Дмитриева Ольга</v>
      </c>
      <c r="F6"/>
      <c r="G6"/>
      <c r="H6"/>
      <c r="I6"/>
      <c r="J6"/>
      <c r="K6"/>
      <c r="L6"/>
      <c r="M6"/>
      <c r="N6"/>
      <c r="O6"/>
      <c r="P6"/>
      <c r="Q6"/>
    </row>
    <row r="7" spans="1:17" ht="15">
      <c r="A7" s="62" t="s">
        <v>191</v>
      </c>
      <c r="B7" s="62" t="s">
        <v>190</v>
      </c>
      <c r="C7" s="93" t="str">
        <f t="shared" si="0"/>
        <v>Карпенко Анастасия</v>
      </c>
      <c r="F7"/>
      <c r="G7"/>
      <c r="H7"/>
      <c r="I7"/>
      <c r="J7"/>
      <c r="K7"/>
      <c r="L7"/>
      <c r="M7"/>
      <c r="N7"/>
      <c r="O7"/>
      <c r="P7"/>
      <c r="Q7"/>
    </row>
    <row r="8" spans="1:17">
      <c r="A8" s="62" t="s">
        <v>189</v>
      </c>
      <c r="B8" s="62" t="s">
        <v>176</v>
      </c>
      <c r="C8" s="93" t="str">
        <f t="shared" si="0"/>
        <v>Климова Елена</v>
      </c>
    </row>
    <row r="9" spans="1:17">
      <c r="A9" s="62" t="s">
        <v>188</v>
      </c>
      <c r="B9" s="62" t="s">
        <v>187</v>
      </c>
      <c r="C9" s="93" t="str">
        <f t="shared" si="0"/>
        <v>Кулакова Лина</v>
      </c>
    </row>
    <row r="10" spans="1:17">
      <c r="A10" s="62" t="s">
        <v>186</v>
      </c>
      <c r="B10" s="62" t="s">
        <v>151</v>
      </c>
      <c r="C10" s="93" t="str">
        <f t="shared" si="0"/>
        <v>Машика Александр</v>
      </c>
    </row>
    <row r="11" spans="1:17">
      <c r="A11" s="62" t="s">
        <v>185</v>
      </c>
      <c r="B11" s="62" t="s">
        <v>184</v>
      </c>
      <c r="C11" s="93" t="str">
        <f t="shared" si="0"/>
        <v>Минасян Артур</v>
      </c>
    </row>
    <row r="12" spans="1:17">
      <c r="A12" s="62" t="s">
        <v>183</v>
      </c>
      <c r="B12" s="62" t="s">
        <v>182</v>
      </c>
      <c r="C12" s="93" t="str">
        <f t="shared" si="0"/>
        <v>Павлова Саша</v>
      </c>
    </row>
    <row r="13" spans="1:17">
      <c r="A13" s="62" t="s">
        <v>181</v>
      </c>
      <c r="B13" s="62" t="s">
        <v>180</v>
      </c>
      <c r="C13" s="93" t="str">
        <f t="shared" si="0"/>
        <v>Сечкина Виктория</v>
      </c>
    </row>
    <row r="14" spans="1:17">
      <c r="A14" s="62" t="s">
        <v>179</v>
      </c>
      <c r="B14" s="62" t="s">
        <v>178</v>
      </c>
      <c r="C14" s="93" t="str">
        <f t="shared" si="0"/>
        <v>Смирнова Ирина</v>
      </c>
    </row>
    <row r="15" spans="1:17">
      <c r="A15" s="62" t="s">
        <v>177</v>
      </c>
      <c r="B15" s="62" t="s">
        <v>176</v>
      </c>
      <c r="C15" s="93" t="str">
        <f t="shared" si="0"/>
        <v>Соколова Елена</v>
      </c>
    </row>
    <row r="16" spans="1:17">
      <c r="A16" s="62" t="s">
        <v>175</v>
      </c>
      <c r="B16" s="62" t="s">
        <v>174</v>
      </c>
      <c r="C16" s="93" t="str">
        <f t="shared" si="0"/>
        <v>Филиппова Олеся</v>
      </c>
    </row>
    <row r="17" spans="1:3">
      <c r="A17" s="62" t="s">
        <v>173</v>
      </c>
      <c r="B17" s="62" t="s">
        <v>167</v>
      </c>
      <c r="C17" s="93" t="str">
        <f t="shared" si="0"/>
        <v>Павленко Дмитрий</v>
      </c>
    </row>
    <row r="18" spans="1:3">
      <c r="A18" s="62" t="s">
        <v>172</v>
      </c>
      <c r="B18" s="62" t="s">
        <v>171</v>
      </c>
      <c r="C18" s="93" t="str">
        <f t="shared" si="0"/>
        <v>Величко Ольга</v>
      </c>
    </row>
    <row r="19" spans="1:3">
      <c r="A19" s="62" t="s">
        <v>58</v>
      </c>
      <c r="B19" s="62" t="s">
        <v>167</v>
      </c>
      <c r="C19" s="93" t="str">
        <f t="shared" si="0"/>
        <v>Волков Дмитрий</v>
      </c>
    </row>
    <row r="20" spans="1:3">
      <c r="A20" s="62" t="s">
        <v>170</v>
      </c>
      <c r="B20" s="62" t="s">
        <v>169</v>
      </c>
      <c r="C20" s="93" t="str">
        <f t="shared" si="0"/>
        <v>Глухова Татьяна</v>
      </c>
    </row>
    <row r="21" spans="1:3">
      <c r="A21" s="62" t="s">
        <v>168</v>
      </c>
      <c r="B21" s="62" t="s">
        <v>147</v>
      </c>
      <c r="C21" s="93" t="str">
        <f t="shared" si="0"/>
        <v>Дунаев Сергей</v>
      </c>
    </row>
    <row r="22" spans="1:3">
      <c r="A22" s="62" t="s">
        <v>166</v>
      </c>
      <c r="B22" s="62" t="s">
        <v>167</v>
      </c>
      <c r="C22" s="93" t="str">
        <f t="shared" si="0"/>
        <v>Иванов Дмитрий</v>
      </c>
    </row>
    <row r="23" spans="1:3">
      <c r="A23" s="62" t="s">
        <v>166</v>
      </c>
      <c r="B23" s="62" t="s">
        <v>165</v>
      </c>
      <c r="C23" s="93" t="str">
        <f t="shared" si="0"/>
        <v>Иванов Максим</v>
      </c>
    </row>
    <row r="24" spans="1:3">
      <c r="A24" s="62" t="s">
        <v>164</v>
      </c>
      <c r="B24" s="62" t="s">
        <v>163</v>
      </c>
      <c r="C24" s="93" t="str">
        <f t="shared" si="0"/>
        <v>Киселева Светлана</v>
      </c>
    </row>
    <row r="25" spans="1:3">
      <c r="A25" s="62" t="s">
        <v>162</v>
      </c>
      <c r="B25" s="62" t="s">
        <v>151</v>
      </c>
      <c r="C25" s="93" t="str">
        <f t="shared" si="0"/>
        <v>Костюков Александр</v>
      </c>
    </row>
    <row r="26" spans="1:3">
      <c r="A26" s="62" t="s">
        <v>161</v>
      </c>
      <c r="B26" s="62" t="s">
        <v>160</v>
      </c>
      <c r="C26" s="93" t="str">
        <f t="shared" si="0"/>
        <v>Морозова Наталия</v>
      </c>
    </row>
    <row r="27" spans="1:3">
      <c r="A27" s="62" t="s">
        <v>159</v>
      </c>
      <c r="B27" s="62" t="s">
        <v>158</v>
      </c>
      <c r="C27" s="93" t="str">
        <f t="shared" si="0"/>
        <v>Оснач Евгений</v>
      </c>
    </row>
    <row r="28" spans="1:3">
      <c r="A28" s="62" t="s">
        <v>155</v>
      </c>
      <c r="B28" s="62" t="s">
        <v>157</v>
      </c>
      <c r="C28" s="93" t="str">
        <f t="shared" si="0"/>
        <v>Подольский Николай</v>
      </c>
    </row>
    <row r="29" spans="1:3">
      <c r="A29" s="62" t="s">
        <v>155</v>
      </c>
      <c r="B29" s="62" t="s">
        <v>156</v>
      </c>
      <c r="C29" s="93" t="str">
        <f t="shared" si="0"/>
        <v>Подольский Петр</v>
      </c>
    </row>
    <row r="30" spans="1:3">
      <c r="A30" s="62" t="s">
        <v>155</v>
      </c>
      <c r="B30" s="62" t="s">
        <v>147</v>
      </c>
      <c r="C30" s="93" t="str">
        <f t="shared" si="0"/>
        <v>Подольский Сергей</v>
      </c>
    </row>
    <row r="31" spans="1:3">
      <c r="A31" s="62" t="s">
        <v>154</v>
      </c>
      <c r="B31" s="62" t="s">
        <v>153</v>
      </c>
      <c r="C31" s="93" t="str">
        <f t="shared" si="0"/>
        <v>Репяков Янис</v>
      </c>
    </row>
    <row r="32" spans="1:3">
      <c r="A32" s="62" t="s">
        <v>152</v>
      </c>
      <c r="B32" s="62" t="s">
        <v>151</v>
      </c>
      <c r="C32" s="93" t="str">
        <f t="shared" si="0"/>
        <v>Рублев Александр</v>
      </c>
    </row>
    <row r="33" spans="1:3">
      <c r="A33" s="62" t="s">
        <v>150</v>
      </c>
      <c r="B33" s="62" t="s">
        <v>149</v>
      </c>
      <c r="C33" s="93" t="str">
        <f t="shared" si="0"/>
        <v>Федорова Надежда</v>
      </c>
    </row>
    <row r="34" spans="1:3">
      <c r="A34" s="62" t="s">
        <v>148</v>
      </c>
      <c r="B34" s="62" t="s">
        <v>147</v>
      </c>
      <c r="C34" s="93" t="str">
        <f t="shared" si="0"/>
        <v>Шаров Сергей</v>
      </c>
    </row>
    <row r="35" spans="1:3">
      <c r="A35" s="62" t="s">
        <v>146</v>
      </c>
      <c r="B35" s="62" t="s">
        <v>145</v>
      </c>
      <c r="C35" s="93" t="str">
        <f t="shared" si="0"/>
        <v>Белоушка Марина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66EF-F44D-4915-85D5-296A7F7B36F2}">
  <sheetPr>
    <tabColor rgb="FF92D050"/>
  </sheetPr>
  <dimension ref="A1:M52"/>
  <sheetViews>
    <sheetView workbookViewId="0">
      <selection activeCell="D2" sqref="D2"/>
    </sheetView>
  </sheetViews>
  <sheetFormatPr defaultRowHeight="12.75"/>
  <cols>
    <col min="1" max="16384" width="9.140625" style="15"/>
  </cols>
  <sheetData>
    <row r="1" spans="1:13">
      <c r="A1" s="96" t="s">
        <v>207</v>
      </c>
      <c r="B1" s="97" t="s">
        <v>126</v>
      </c>
    </row>
    <row r="2" spans="1:13">
      <c r="A2" s="69" t="s">
        <v>206</v>
      </c>
      <c r="B2" s="68">
        <v>1545.51</v>
      </c>
      <c r="D2" s="63">
        <f>SUMIF($A:$A, "20.02.01", $B:$B)</f>
        <v>14064.35</v>
      </c>
    </row>
    <row r="3" spans="1:13">
      <c r="A3" s="69" t="s">
        <v>205</v>
      </c>
      <c r="B3" s="68">
        <v>591.5</v>
      </c>
    </row>
    <row r="4" spans="1:13">
      <c r="A4" s="69" t="s">
        <v>205</v>
      </c>
      <c r="B4" s="68">
        <v>199.19</v>
      </c>
    </row>
    <row r="5" spans="1:13">
      <c r="A5" s="69" t="s">
        <v>205</v>
      </c>
      <c r="B5" s="68">
        <v>235.62</v>
      </c>
    </row>
    <row r="6" spans="1:13">
      <c r="A6" s="69" t="s">
        <v>205</v>
      </c>
      <c r="B6" s="68">
        <v>227.14</v>
      </c>
    </row>
    <row r="7" spans="1:13" ht="15">
      <c r="A7" s="69" t="s">
        <v>205</v>
      </c>
      <c r="B7" s="68">
        <v>585.78</v>
      </c>
      <c r="G7"/>
      <c r="H7"/>
      <c r="I7"/>
      <c r="J7"/>
      <c r="K7"/>
      <c r="L7"/>
      <c r="M7"/>
    </row>
    <row r="8" spans="1:13" ht="15">
      <c r="A8" s="69" t="s">
        <v>205</v>
      </c>
      <c r="B8" s="68">
        <v>632.89</v>
      </c>
      <c r="G8"/>
      <c r="H8"/>
      <c r="I8"/>
      <c r="J8"/>
      <c r="K8"/>
      <c r="L8"/>
      <c r="M8"/>
    </row>
    <row r="9" spans="1:13" ht="15">
      <c r="A9" s="69" t="s">
        <v>206</v>
      </c>
      <c r="B9" s="68">
        <v>-126.23</v>
      </c>
      <c r="G9"/>
      <c r="H9"/>
      <c r="I9"/>
      <c r="J9"/>
      <c r="K9"/>
      <c r="L9"/>
      <c r="M9"/>
    </row>
    <row r="10" spans="1:13" ht="15">
      <c r="A10" s="69" t="s">
        <v>205</v>
      </c>
      <c r="B10" s="68">
        <v>368.66</v>
      </c>
      <c r="G10"/>
      <c r="H10"/>
      <c r="I10"/>
      <c r="J10"/>
      <c r="K10"/>
      <c r="L10"/>
      <c r="M10"/>
    </row>
    <row r="11" spans="1:13" ht="15">
      <c r="A11" s="69" t="s">
        <v>205</v>
      </c>
      <c r="B11" s="68">
        <v>564.02</v>
      </c>
      <c r="G11"/>
      <c r="H11"/>
      <c r="I11"/>
      <c r="J11"/>
      <c r="K11"/>
      <c r="L11"/>
      <c r="M11"/>
    </row>
    <row r="12" spans="1:13" ht="15">
      <c r="A12" s="69" t="s">
        <v>206</v>
      </c>
      <c r="B12" s="68">
        <v>279.10000000000002</v>
      </c>
      <c r="G12"/>
      <c r="H12"/>
      <c r="I12"/>
      <c r="J12"/>
      <c r="K12"/>
      <c r="L12"/>
      <c r="M12"/>
    </row>
    <row r="13" spans="1:13" ht="15">
      <c r="A13" s="69" t="s">
        <v>205</v>
      </c>
      <c r="B13" s="68">
        <v>570.72</v>
      </c>
      <c r="G13"/>
      <c r="H13"/>
      <c r="I13"/>
      <c r="J13"/>
      <c r="K13"/>
      <c r="L13"/>
      <c r="M13"/>
    </row>
    <row r="14" spans="1:13" ht="15">
      <c r="A14" s="69" t="s">
        <v>205</v>
      </c>
      <c r="B14" s="68">
        <v>679.32</v>
      </c>
      <c r="G14"/>
      <c r="H14"/>
      <c r="I14"/>
      <c r="J14"/>
      <c r="K14"/>
      <c r="L14"/>
      <c r="M14"/>
    </row>
    <row r="15" spans="1:13">
      <c r="A15" s="69" t="s">
        <v>206</v>
      </c>
      <c r="B15" s="68">
        <v>1462.53</v>
      </c>
    </row>
    <row r="16" spans="1:13">
      <c r="A16" s="69" t="s">
        <v>206</v>
      </c>
      <c r="B16" s="68">
        <v>-213.84</v>
      </c>
    </row>
    <row r="17" spans="1:2">
      <c r="A17" s="69" t="s">
        <v>205</v>
      </c>
      <c r="B17" s="68">
        <v>539.35</v>
      </c>
    </row>
    <row r="18" spans="1:2">
      <c r="A18" s="69" t="s">
        <v>206</v>
      </c>
      <c r="B18" s="68">
        <v>1315.75</v>
      </c>
    </row>
    <row r="19" spans="1:2">
      <c r="A19" s="69" t="s">
        <v>206</v>
      </c>
      <c r="B19" s="68">
        <v>698.5</v>
      </c>
    </row>
    <row r="20" spans="1:2">
      <c r="A20" s="69" t="s">
        <v>205</v>
      </c>
      <c r="B20" s="68">
        <v>667.18</v>
      </c>
    </row>
    <row r="21" spans="1:2">
      <c r="A21" s="69" t="s">
        <v>206</v>
      </c>
      <c r="B21" s="68">
        <v>187.39</v>
      </c>
    </row>
    <row r="22" spans="1:2">
      <c r="A22" s="69" t="s">
        <v>206</v>
      </c>
      <c r="B22" s="68">
        <v>286.62</v>
      </c>
    </row>
    <row r="23" spans="1:2">
      <c r="A23" s="69" t="s">
        <v>206</v>
      </c>
      <c r="B23" s="68">
        <v>624.45000000000005</v>
      </c>
    </row>
    <row r="24" spans="1:2">
      <c r="A24" s="69" t="s">
        <v>205</v>
      </c>
      <c r="B24" s="68">
        <v>1116.8699999999999</v>
      </c>
    </row>
    <row r="25" spans="1:2">
      <c r="A25" s="69" t="s">
        <v>206</v>
      </c>
      <c r="B25" s="68">
        <v>792.35</v>
      </c>
    </row>
    <row r="26" spans="1:2">
      <c r="A26" s="69" t="s">
        <v>206</v>
      </c>
      <c r="B26" s="68">
        <v>1243.07</v>
      </c>
    </row>
    <row r="27" spans="1:2">
      <c r="A27" s="69" t="s">
        <v>206</v>
      </c>
      <c r="B27" s="68">
        <v>226.16</v>
      </c>
    </row>
    <row r="28" spans="1:2">
      <c r="A28" s="69" t="s">
        <v>205</v>
      </c>
      <c r="B28" s="68">
        <v>515.16</v>
      </c>
    </row>
    <row r="29" spans="1:2">
      <c r="A29" s="69" t="s">
        <v>205</v>
      </c>
      <c r="B29" s="68">
        <v>715.19</v>
      </c>
    </row>
    <row r="30" spans="1:2">
      <c r="A30" s="69" t="s">
        <v>205</v>
      </c>
      <c r="B30" s="68">
        <v>833.47</v>
      </c>
    </row>
    <row r="31" spans="1:2">
      <c r="A31" s="69" t="s">
        <v>206</v>
      </c>
      <c r="B31" s="68">
        <v>191.04</v>
      </c>
    </row>
    <row r="32" spans="1:2">
      <c r="A32" s="69" t="s">
        <v>205</v>
      </c>
      <c r="B32" s="68">
        <v>1015.18</v>
      </c>
    </row>
    <row r="33" spans="1:2">
      <c r="A33" s="69" t="s">
        <v>205</v>
      </c>
      <c r="B33" s="68">
        <v>1259.8699999999999</v>
      </c>
    </row>
    <row r="34" spans="1:2">
      <c r="A34" s="69" t="s">
        <v>205</v>
      </c>
      <c r="B34" s="68">
        <v>579.17999999999995</v>
      </c>
    </row>
    <row r="35" spans="1:2">
      <c r="A35" s="69" t="s">
        <v>205</v>
      </c>
      <c r="B35" s="68">
        <v>1133</v>
      </c>
    </row>
    <row r="36" spans="1:2">
      <c r="A36" s="69" t="s">
        <v>205</v>
      </c>
      <c r="B36" s="68">
        <v>300.64</v>
      </c>
    </row>
    <row r="37" spans="1:2">
      <c r="A37" s="69" t="s">
        <v>206</v>
      </c>
      <c r="B37" s="68">
        <v>719.08</v>
      </c>
    </row>
    <row r="38" spans="1:2">
      <c r="A38" s="69" t="s">
        <v>206</v>
      </c>
      <c r="B38" s="68">
        <v>725.95</v>
      </c>
    </row>
    <row r="39" spans="1:2">
      <c r="A39" s="69" t="s">
        <v>205</v>
      </c>
      <c r="B39" s="68">
        <v>299.33999999999997</v>
      </c>
    </row>
    <row r="40" spans="1:2">
      <c r="A40" s="69" t="s">
        <v>206</v>
      </c>
      <c r="B40" s="68">
        <v>566.07000000000005</v>
      </c>
    </row>
    <row r="41" spans="1:2">
      <c r="A41" s="69" t="s">
        <v>205</v>
      </c>
      <c r="B41" s="68">
        <v>562.70000000000005</v>
      </c>
    </row>
    <row r="42" spans="1:2">
      <c r="A42" s="69" t="s">
        <v>205</v>
      </c>
      <c r="B42" s="68">
        <v>218.43</v>
      </c>
    </row>
    <row r="43" spans="1:2">
      <c r="A43" s="69" t="s">
        <v>206</v>
      </c>
      <c r="B43" s="68">
        <v>908.22</v>
      </c>
    </row>
    <row r="44" spans="1:2">
      <c r="A44" s="69" t="s">
        <v>205</v>
      </c>
      <c r="B44" s="68">
        <v>259.82</v>
      </c>
    </row>
    <row r="45" spans="1:2">
      <c r="A45" s="69" t="s">
        <v>206</v>
      </c>
      <c r="B45" s="68">
        <v>869.65</v>
      </c>
    </row>
    <row r="46" spans="1:2">
      <c r="A46" s="69" t="s">
        <v>206</v>
      </c>
      <c r="B46" s="68">
        <v>533.47</v>
      </c>
    </row>
    <row r="47" spans="1:2">
      <c r="A47" s="69" t="s">
        <v>205</v>
      </c>
      <c r="B47" s="68">
        <v>506.2</v>
      </c>
    </row>
    <row r="48" spans="1:2">
      <c r="A48" s="69" t="s">
        <v>206</v>
      </c>
      <c r="B48" s="68">
        <v>527.77</v>
      </c>
    </row>
    <row r="49" spans="1:2">
      <c r="A49" s="69" t="s">
        <v>205</v>
      </c>
      <c r="B49" s="68">
        <v>818.15</v>
      </c>
    </row>
    <row r="50" spans="1:2">
      <c r="A50" s="69" t="s">
        <v>205</v>
      </c>
      <c r="B50" s="68">
        <v>1249.98</v>
      </c>
    </row>
    <row r="51" spans="1:2">
      <c r="A51" s="69" t="s">
        <v>206</v>
      </c>
      <c r="B51" s="68">
        <v>701.74</v>
      </c>
    </row>
    <row r="52" spans="1:2">
      <c r="A52" s="69" t="s">
        <v>205</v>
      </c>
      <c r="B52" s="68">
        <f>SUM(B2:B51)</f>
        <v>31308.900000000012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29FA-5AAD-4D5C-AFC9-F110A1FCEF9E}">
  <sheetPr>
    <tabColor rgb="FFFFFF00"/>
  </sheetPr>
  <dimension ref="A2:E12"/>
  <sheetViews>
    <sheetView workbookViewId="0">
      <selection activeCell="F10" sqref="F10"/>
    </sheetView>
  </sheetViews>
  <sheetFormatPr defaultRowHeight="15"/>
  <cols>
    <col min="1" max="1" width="24.5703125" customWidth="1"/>
    <col min="2" max="2" width="13.7109375" customWidth="1"/>
    <col min="3" max="3" width="13.85546875" customWidth="1"/>
    <col min="4" max="4" width="17.5703125" customWidth="1"/>
    <col min="5" max="5" width="17" customWidth="1"/>
    <col min="6" max="6" width="10.140625" customWidth="1"/>
  </cols>
  <sheetData>
    <row r="2" spans="1:5">
      <c r="A2" t="s">
        <v>310</v>
      </c>
    </row>
    <row r="4" spans="1:5" ht="44.25" customHeight="1">
      <c r="A4" s="38" t="s">
        <v>94</v>
      </c>
      <c r="B4" s="37" t="s">
        <v>93</v>
      </c>
      <c r="C4" s="37" t="s">
        <v>92</v>
      </c>
      <c r="D4" s="37" t="s">
        <v>91</v>
      </c>
      <c r="E4" s="37" t="s">
        <v>90</v>
      </c>
    </row>
    <row r="5" spans="1:5">
      <c r="A5" s="34" t="s">
        <v>89</v>
      </c>
      <c r="B5" s="36">
        <v>20</v>
      </c>
      <c r="C5" s="34">
        <v>100</v>
      </c>
      <c r="D5" s="34">
        <v>3</v>
      </c>
      <c r="E5" s="34">
        <v>20</v>
      </c>
    </row>
    <row r="6" spans="1:5">
      <c r="A6" s="34" t="s">
        <v>88</v>
      </c>
      <c r="B6" s="36">
        <v>40</v>
      </c>
      <c r="C6" s="34">
        <v>50</v>
      </c>
      <c r="D6" s="34">
        <v>0</v>
      </c>
      <c r="E6" s="34">
        <v>40</v>
      </c>
    </row>
    <row r="7" spans="1:5">
      <c r="A7" s="34" t="s">
        <v>87</v>
      </c>
      <c r="B7" s="36">
        <v>34</v>
      </c>
      <c r="C7" s="34">
        <v>200</v>
      </c>
      <c r="D7" s="34">
        <v>4</v>
      </c>
      <c r="E7" s="34">
        <v>13</v>
      </c>
    </row>
    <row r="8" spans="1:5">
      <c r="A8" s="34" t="s">
        <v>86</v>
      </c>
      <c r="B8" s="36">
        <v>58</v>
      </c>
      <c r="C8" s="34">
        <v>150</v>
      </c>
      <c r="D8" s="34">
        <v>2</v>
      </c>
      <c r="E8" s="34">
        <v>10</v>
      </c>
    </row>
    <row r="9" spans="1:5">
      <c r="A9" s="34" t="s">
        <v>85</v>
      </c>
      <c r="B9" s="36">
        <v>100</v>
      </c>
      <c r="C9" s="34">
        <v>100</v>
      </c>
      <c r="D9" s="34">
        <v>7</v>
      </c>
      <c r="E9" s="34">
        <v>0</v>
      </c>
    </row>
    <row r="10" spans="1:5">
      <c r="A10" s="34" t="s">
        <v>84</v>
      </c>
      <c r="B10" s="36">
        <v>80</v>
      </c>
      <c r="C10" s="34">
        <v>500</v>
      </c>
      <c r="D10" s="34">
        <v>4</v>
      </c>
      <c r="E10" s="34">
        <v>90</v>
      </c>
    </row>
    <row r="12" spans="1:5">
      <c r="D12" s="35" t="s">
        <v>83</v>
      </c>
      <c r="E12" s="34" cm="1">
        <f t="array" ref="E12">SUM(B5:B10*C5:C10*D5:D10,B5:B10*E5:E10)</f>
        <v>290822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8909-DB8C-4578-9D71-790AFC49CA5D}">
  <sheetPr>
    <tabColor rgb="FFFFFF00"/>
  </sheetPr>
  <dimension ref="A3:N115"/>
  <sheetViews>
    <sheetView workbookViewId="0">
      <selection activeCell="H10" sqref="H10"/>
    </sheetView>
  </sheetViews>
  <sheetFormatPr defaultRowHeight="12.75"/>
  <cols>
    <col min="1" max="1" width="13.5703125" style="15" customWidth="1"/>
    <col min="2" max="2" width="16.85546875" style="15" customWidth="1"/>
    <col min="3" max="3" width="15.5703125" style="15" customWidth="1"/>
    <col min="4" max="4" width="9.85546875" style="15" customWidth="1"/>
    <col min="5" max="5" width="22.5703125" style="15" customWidth="1"/>
    <col min="6" max="6" width="19.85546875" style="15" customWidth="1"/>
    <col min="7" max="7" width="9.140625" style="15"/>
    <col min="8" max="8" width="12.5703125" style="15" customWidth="1"/>
    <col min="9" max="9" width="9.140625" style="15"/>
    <col min="10" max="10" width="15.28515625" style="15" customWidth="1"/>
    <col min="11" max="11" width="20.140625" style="15" customWidth="1"/>
    <col min="12" max="256" width="9.140625" style="15"/>
    <col min="257" max="257" width="13.5703125" style="15" customWidth="1"/>
    <col min="258" max="258" width="16.85546875" style="15" customWidth="1"/>
    <col min="259" max="259" width="15.5703125" style="15" customWidth="1"/>
    <col min="260" max="260" width="9.85546875" style="15" customWidth="1"/>
    <col min="261" max="261" width="22.5703125" style="15" customWidth="1"/>
    <col min="262" max="262" width="19.85546875" style="15" customWidth="1"/>
    <col min="263" max="263" width="9.140625" style="15"/>
    <col min="264" max="264" width="12.5703125" style="15" customWidth="1"/>
    <col min="265" max="265" width="9.140625" style="15"/>
    <col min="266" max="266" width="15.28515625" style="15" customWidth="1"/>
    <col min="267" max="267" width="20.140625" style="15" customWidth="1"/>
    <col min="268" max="512" width="9.140625" style="15"/>
    <col min="513" max="513" width="13.5703125" style="15" customWidth="1"/>
    <col min="514" max="514" width="16.85546875" style="15" customWidth="1"/>
    <col min="515" max="515" width="15.5703125" style="15" customWidth="1"/>
    <col min="516" max="516" width="9.85546875" style="15" customWidth="1"/>
    <col min="517" max="517" width="22.5703125" style="15" customWidth="1"/>
    <col min="518" max="518" width="19.85546875" style="15" customWidth="1"/>
    <col min="519" max="519" width="9.140625" style="15"/>
    <col min="520" max="520" width="12.5703125" style="15" customWidth="1"/>
    <col min="521" max="521" width="9.140625" style="15"/>
    <col min="522" max="522" width="15.28515625" style="15" customWidth="1"/>
    <col min="523" max="523" width="20.140625" style="15" customWidth="1"/>
    <col min="524" max="768" width="9.140625" style="15"/>
    <col min="769" max="769" width="13.5703125" style="15" customWidth="1"/>
    <col min="770" max="770" width="16.85546875" style="15" customWidth="1"/>
    <col min="771" max="771" width="15.5703125" style="15" customWidth="1"/>
    <col min="772" max="772" width="9.85546875" style="15" customWidth="1"/>
    <col min="773" max="773" width="22.5703125" style="15" customWidth="1"/>
    <col min="774" max="774" width="19.85546875" style="15" customWidth="1"/>
    <col min="775" max="775" width="9.140625" style="15"/>
    <col min="776" max="776" width="12.5703125" style="15" customWidth="1"/>
    <col min="777" max="777" width="9.140625" style="15"/>
    <col min="778" max="778" width="15.28515625" style="15" customWidth="1"/>
    <col min="779" max="779" width="20.140625" style="15" customWidth="1"/>
    <col min="780" max="1024" width="9.140625" style="15"/>
    <col min="1025" max="1025" width="13.5703125" style="15" customWidth="1"/>
    <col min="1026" max="1026" width="16.85546875" style="15" customWidth="1"/>
    <col min="1027" max="1027" width="15.5703125" style="15" customWidth="1"/>
    <col min="1028" max="1028" width="9.85546875" style="15" customWidth="1"/>
    <col min="1029" max="1029" width="22.5703125" style="15" customWidth="1"/>
    <col min="1030" max="1030" width="19.85546875" style="15" customWidth="1"/>
    <col min="1031" max="1031" width="9.140625" style="15"/>
    <col min="1032" max="1032" width="12.5703125" style="15" customWidth="1"/>
    <col min="1033" max="1033" width="9.140625" style="15"/>
    <col min="1034" max="1034" width="15.28515625" style="15" customWidth="1"/>
    <col min="1035" max="1035" width="20.140625" style="15" customWidth="1"/>
    <col min="1036" max="1280" width="9.140625" style="15"/>
    <col min="1281" max="1281" width="13.5703125" style="15" customWidth="1"/>
    <col min="1282" max="1282" width="16.85546875" style="15" customWidth="1"/>
    <col min="1283" max="1283" width="15.5703125" style="15" customWidth="1"/>
    <col min="1284" max="1284" width="9.85546875" style="15" customWidth="1"/>
    <col min="1285" max="1285" width="22.5703125" style="15" customWidth="1"/>
    <col min="1286" max="1286" width="19.85546875" style="15" customWidth="1"/>
    <col min="1287" max="1287" width="9.140625" style="15"/>
    <col min="1288" max="1288" width="12.5703125" style="15" customWidth="1"/>
    <col min="1289" max="1289" width="9.140625" style="15"/>
    <col min="1290" max="1290" width="15.28515625" style="15" customWidth="1"/>
    <col min="1291" max="1291" width="20.140625" style="15" customWidth="1"/>
    <col min="1292" max="1536" width="9.140625" style="15"/>
    <col min="1537" max="1537" width="13.5703125" style="15" customWidth="1"/>
    <col min="1538" max="1538" width="16.85546875" style="15" customWidth="1"/>
    <col min="1539" max="1539" width="15.5703125" style="15" customWidth="1"/>
    <col min="1540" max="1540" width="9.85546875" style="15" customWidth="1"/>
    <col min="1541" max="1541" width="22.5703125" style="15" customWidth="1"/>
    <col min="1542" max="1542" width="19.85546875" style="15" customWidth="1"/>
    <col min="1543" max="1543" width="9.140625" style="15"/>
    <col min="1544" max="1544" width="12.5703125" style="15" customWidth="1"/>
    <col min="1545" max="1545" width="9.140625" style="15"/>
    <col min="1546" max="1546" width="15.28515625" style="15" customWidth="1"/>
    <col min="1547" max="1547" width="20.140625" style="15" customWidth="1"/>
    <col min="1548" max="1792" width="9.140625" style="15"/>
    <col min="1793" max="1793" width="13.5703125" style="15" customWidth="1"/>
    <col min="1794" max="1794" width="16.85546875" style="15" customWidth="1"/>
    <col min="1795" max="1795" width="15.5703125" style="15" customWidth="1"/>
    <col min="1796" max="1796" width="9.85546875" style="15" customWidth="1"/>
    <col min="1797" max="1797" width="22.5703125" style="15" customWidth="1"/>
    <col min="1798" max="1798" width="19.85546875" style="15" customWidth="1"/>
    <col min="1799" max="1799" width="9.140625" style="15"/>
    <col min="1800" max="1800" width="12.5703125" style="15" customWidth="1"/>
    <col min="1801" max="1801" width="9.140625" style="15"/>
    <col min="1802" max="1802" width="15.28515625" style="15" customWidth="1"/>
    <col min="1803" max="1803" width="20.140625" style="15" customWidth="1"/>
    <col min="1804" max="2048" width="9.140625" style="15"/>
    <col min="2049" max="2049" width="13.5703125" style="15" customWidth="1"/>
    <col min="2050" max="2050" width="16.85546875" style="15" customWidth="1"/>
    <col min="2051" max="2051" width="15.5703125" style="15" customWidth="1"/>
    <col min="2052" max="2052" width="9.85546875" style="15" customWidth="1"/>
    <col min="2053" max="2053" width="22.5703125" style="15" customWidth="1"/>
    <col min="2054" max="2054" width="19.85546875" style="15" customWidth="1"/>
    <col min="2055" max="2055" width="9.140625" style="15"/>
    <col min="2056" max="2056" width="12.5703125" style="15" customWidth="1"/>
    <col min="2057" max="2057" width="9.140625" style="15"/>
    <col min="2058" max="2058" width="15.28515625" style="15" customWidth="1"/>
    <col min="2059" max="2059" width="20.140625" style="15" customWidth="1"/>
    <col min="2060" max="2304" width="9.140625" style="15"/>
    <col min="2305" max="2305" width="13.5703125" style="15" customWidth="1"/>
    <col min="2306" max="2306" width="16.85546875" style="15" customWidth="1"/>
    <col min="2307" max="2307" width="15.5703125" style="15" customWidth="1"/>
    <col min="2308" max="2308" width="9.85546875" style="15" customWidth="1"/>
    <col min="2309" max="2309" width="22.5703125" style="15" customWidth="1"/>
    <col min="2310" max="2310" width="19.85546875" style="15" customWidth="1"/>
    <col min="2311" max="2311" width="9.140625" style="15"/>
    <col min="2312" max="2312" width="12.5703125" style="15" customWidth="1"/>
    <col min="2313" max="2313" width="9.140625" style="15"/>
    <col min="2314" max="2314" width="15.28515625" style="15" customWidth="1"/>
    <col min="2315" max="2315" width="20.140625" style="15" customWidth="1"/>
    <col min="2316" max="2560" width="9.140625" style="15"/>
    <col min="2561" max="2561" width="13.5703125" style="15" customWidth="1"/>
    <col min="2562" max="2562" width="16.85546875" style="15" customWidth="1"/>
    <col min="2563" max="2563" width="15.5703125" style="15" customWidth="1"/>
    <col min="2564" max="2564" width="9.85546875" style="15" customWidth="1"/>
    <col min="2565" max="2565" width="22.5703125" style="15" customWidth="1"/>
    <col min="2566" max="2566" width="19.85546875" style="15" customWidth="1"/>
    <col min="2567" max="2567" width="9.140625" style="15"/>
    <col min="2568" max="2568" width="12.5703125" style="15" customWidth="1"/>
    <col min="2569" max="2569" width="9.140625" style="15"/>
    <col min="2570" max="2570" width="15.28515625" style="15" customWidth="1"/>
    <col min="2571" max="2571" width="20.140625" style="15" customWidth="1"/>
    <col min="2572" max="2816" width="9.140625" style="15"/>
    <col min="2817" max="2817" width="13.5703125" style="15" customWidth="1"/>
    <col min="2818" max="2818" width="16.85546875" style="15" customWidth="1"/>
    <col min="2819" max="2819" width="15.5703125" style="15" customWidth="1"/>
    <col min="2820" max="2820" width="9.85546875" style="15" customWidth="1"/>
    <col min="2821" max="2821" width="22.5703125" style="15" customWidth="1"/>
    <col min="2822" max="2822" width="19.85546875" style="15" customWidth="1"/>
    <col min="2823" max="2823" width="9.140625" style="15"/>
    <col min="2824" max="2824" width="12.5703125" style="15" customWidth="1"/>
    <col min="2825" max="2825" width="9.140625" style="15"/>
    <col min="2826" max="2826" width="15.28515625" style="15" customWidth="1"/>
    <col min="2827" max="2827" width="20.140625" style="15" customWidth="1"/>
    <col min="2828" max="3072" width="9.140625" style="15"/>
    <col min="3073" max="3073" width="13.5703125" style="15" customWidth="1"/>
    <col min="3074" max="3074" width="16.85546875" style="15" customWidth="1"/>
    <col min="3075" max="3075" width="15.5703125" style="15" customWidth="1"/>
    <col min="3076" max="3076" width="9.85546875" style="15" customWidth="1"/>
    <col min="3077" max="3077" width="22.5703125" style="15" customWidth="1"/>
    <col min="3078" max="3078" width="19.85546875" style="15" customWidth="1"/>
    <col min="3079" max="3079" width="9.140625" style="15"/>
    <col min="3080" max="3080" width="12.5703125" style="15" customWidth="1"/>
    <col min="3081" max="3081" width="9.140625" style="15"/>
    <col min="3082" max="3082" width="15.28515625" style="15" customWidth="1"/>
    <col min="3083" max="3083" width="20.140625" style="15" customWidth="1"/>
    <col min="3084" max="3328" width="9.140625" style="15"/>
    <col min="3329" max="3329" width="13.5703125" style="15" customWidth="1"/>
    <col min="3330" max="3330" width="16.85546875" style="15" customWidth="1"/>
    <col min="3331" max="3331" width="15.5703125" style="15" customWidth="1"/>
    <col min="3332" max="3332" width="9.85546875" style="15" customWidth="1"/>
    <col min="3333" max="3333" width="22.5703125" style="15" customWidth="1"/>
    <col min="3334" max="3334" width="19.85546875" style="15" customWidth="1"/>
    <col min="3335" max="3335" width="9.140625" style="15"/>
    <col min="3336" max="3336" width="12.5703125" style="15" customWidth="1"/>
    <col min="3337" max="3337" width="9.140625" style="15"/>
    <col min="3338" max="3338" width="15.28515625" style="15" customWidth="1"/>
    <col min="3339" max="3339" width="20.140625" style="15" customWidth="1"/>
    <col min="3340" max="3584" width="9.140625" style="15"/>
    <col min="3585" max="3585" width="13.5703125" style="15" customWidth="1"/>
    <col min="3586" max="3586" width="16.85546875" style="15" customWidth="1"/>
    <col min="3587" max="3587" width="15.5703125" style="15" customWidth="1"/>
    <col min="3588" max="3588" width="9.85546875" style="15" customWidth="1"/>
    <col min="3589" max="3589" width="22.5703125" style="15" customWidth="1"/>
    <col min="3590" max="3590" width="19.85546875" style="15" customWidth="1"/>
    <col min="3591" max="3591" width="9.140625" style="15"/>
    <col min="3592" max="3592" width="12.5703125" style="15" customWidth="1"/>
    <col min="3593" max="3593" width="9.140625" style="15"/>
    <col min="3594" max="3594" width="15.28515625" style="15" customWidth="1"/>
    <col min="3595" max="3595" width="20.140625" style="15" customWidth="1"/>
    <col min="3596" max="3840" width="9.140625" style="15"/>
    <col min="3841" max="3841" width="13.5703125" style="15" customWidth="1"/>
    <col min="3842" max="3842" width="16.85546875" style="15" customWidth="1"/>
    <col min="3843" max="3843" width="15.5703125" style="15" customWidth="1"/>
    <col min="3844" max="3844" width="9.85546875" style="15" customWidth="1"/>
    <col min="3845" max="3845" width="22.5703125" style="15" customWidth="1"/>
    <col min="3846" max="3846" width="19.85546875" style="15" customWidth="1"/>
    <col min="3847" max="3847" width="9.140625" style="15"/>
    <col min="3848" max="3848" width="12.5703125" style="15" customWidth="1"/>
    <col min="3849" max="3849" width="9.140625" style="15"/>
    <col min="3850" max="3850" width="15.28515625" style="15" customWidth="1"/>
    <col min="3851" max="3851" width="20.140625" style="15" customWidth="1"/>
    <col min="3852" max="4096" width="9.140625" style="15"/>
    <col min="4097" max="4097" width="13.5703125" style="15" customWidth="1"/>
    <col min="4098" max="4098" width="16.85546875" style="15" customWidth="1"/>
    <col min="4099" max="4099" width="15.5703125" style="15" customWidth="1"/>
    <col min="4100" max="4100" width="9.85546875" style="15" customWidth="1"/>
    <col min="4101" max="4101" width="22.5703125" style="15" customWidth="1"/>
    <col min="4102" max="4102" width="19.85546875" style="15" customWidth="1"/>
    <col min="4103" max="4103" width="9.140625" style="15"/>
    <col min="4104" max="4104" width="12.5703125" style="15" customWidth="1"/>
    <col min="4105" max="4105" width="9.140625" style="15"/>
    <col min="4106" max="4106" width="15.28515625" style="15" customWidth="1"/>
    <col min="4107" max="4107" width="20.140625" style="15" customWidth="1"/>
    <col min="4108" max="4352" width="9.140625" style="15"/>
    <col min="4353" max="4353" width="13.5703125" style="15" customWidth="1"/>
    <col min="4354" max="4354" width="16.85546875" style="15" customWidth="1"/>
    <col min="4355" max="4355" width="15.5703125" style="15" customWidth="1"/>
    <col min="4356" max="4356" width="9.85546875" style="15" customWidth="1"/>
    <col min="4357" max="4357" width="22.5703125" style="15" customWidth="1"/>
    <col min="4358" max="4358" width="19.85546875" style="15" customWidth="1"/>
    <col min="4359" max="4359" width="9.140625" style="15"/>
    <col min="4360" max="4360" width="12.5703125" style="15" customWidth="1"/>
    <col min="4361" max="4361" width="9.140625" style="15"/>
    <col min="4362" max="4362" width="15.28515625" style="15" customWidth="1"/>
    <col min="4363" max="4363" width="20.140625" style="15" customWidth="1"/>
    <col min="4364" max="4608" width="9.140625" style="15"/>
    <col min="4609" max="4609" width="13.5703125" style="15" customWidth="1"/>
    <col min="4610" max="4610" width="16.85546875" style="15" customWidth="1"/>
    <col min="4611" max="4611" width="15.5703125" style="15" customWidth="1"/>
    <col min="4612" max="4612" width="9.85546875" style="15" customWidth="1"/>
    <col min="4613" max="4613" width="22.5703125" style="15" customWidth="1"/>
    <col min="4614" max="4614" width="19.85546875" style="15" customWidth="1"/>
    <col min="4615" max="4615" width="9.140625" style="15"/>
    <col min="4616" max="4616" width="12.5703125" style="15" customWidth="1"/>
    <col min="4617" max="4617" width="9.140625" style="15"/>
    <col min="4618" max="4618" width="15.28515625" style="15" customWidth="1"/>
    <col min="4619" max="4619" width="20.140625" style="15" customWidth="1"/>
    <col min="4620" max="4864" width="9.140625" style="15"/>
    <col min="4865" max="4865" width="13.5703125" style="15" customWidth="1"/>
    <col min="4866" max="4866" width="16.85546875" style="15" customWidth="1"/>
    <col min="4867" max="4867" width="15.5703125" style="15" customWidth="1"/>
    <col min="4868" max="4868" width="9.85546875" style="15" customWidth="1"/>
    <col min="4869" max="4869" width="22.5703125" style="15" customWidth="1"/>
    <col min="4870" max="4870" width="19.85546875" style="15" customWidth="1"/>
    <col min="4871" max="4871" width="9.140625" style="15"/>
    <col min="4872" max="4872" width="12.5703125" style="15" customWidth="1"/>
    <col min="4873" max="4873" width="9.140625" style="15"/>
    <col min="4874" max="4874" width="15.28515625" style="15" customWidth="1"/>
    <col min="4875" max="4875" width="20.140625" style="15" customWidth="1"/>
    <col min="4876" max="5120" width="9.140625" style="15"/>
    <col min="5121" max="5121" width="13.5703125" style="15" customWidth="1"/>
    <col min="5122" max="5122" width="16.85546875" style="15" customWidth="1"/>
    <col min="5123" max="5123" width="15.5703125" style="15" customWidth="1"/>
    <col min="5124" max="5124" width="9.85546875" style="15" customWidth="1"/>
    <col min="5125" max="5125" width="22.5703125" style="15" customWidth="1"/>
    <col min="5126" max="5126" width="19.85546875" style="15" customWidth="1"/>
    <col min="5127" max="5127" width="9.140625" style="15"/>
    <col min="5128" max="5128" width="12.5703125" style="15" customWidth="1"/>
    <col min="5129" max="5129" width="9.140625" style="15"/>
    <col min="5130" max="5130" width="15.28515625" style="15" customWidth="1"/>
    <col min="5131" max="5131" width="20.140625" style="15" customWidth="1"/>
    <col min="5132" max="5376" width="9.140625" style="15"/>
    <col min="5377" max="5377" width="13.5703125" style="15" customWidth="1"/>
    <col min="5378" max="5378" width="16.85546875" style="15" customWidth="1"/>
    <col min="5379" max="5379" width="15.5703125" style="15" customWidth="1"/>
    <col min="5380" max="5380" width="9.85546875" style="15" customWidth="1"/>
    <col min="5381" max="5381" width="22.5703125" style="15" customWidth="1"/>
    <col min="5382" max="5382" width="19.85546875" style="15" customWidth="1"/>
    <col min="5383" max="5383" width="9.140625" style="15"/>
    <col min="5384" max="5384" width="12.5703125" style="15" customWidth="1"/>
    <col min="5385" max="5385" width="9.140625" style="15"/>
    <col min="5386" max="5386" width="15.28515625" style="15" customWidth="1"/>
    <col min="5387" max="5387" width="20.140625" style="15" customWidth="1"/>
    <col min="5388" max="5632" width="9.140625" style="15"/>
    <col min="5633" max="5633" width="13.5703125" style="15" customWidth="1"/>
    <col min="5634" max="5634" width="16.85546875" style="15" customWidth="1"/>
    <col min="5635" max="5635" width="15.5703125" style="15" customWidth="1"/>
    <col min="5636" max="5636" width="9.85546875" style="15" customWidth="1"/>
    <col min="5637" max="5637" width="22.5703125" style="15" customWidth="1"/>
    <col min="5638" max="5638" width="19.85546875" style="15" customWidth="1"/>
    <col min="5639" max="5639" width="9.140625" style="15"/>
    <col min="5640" max="5640" width="12.5703125" style="15" customWidth="1"/>
    <col min="5641" max="5641" width="9.140625" style="15"/>
    <col min="5642" max="5642" width="15.28515625" style="15" customWidth="1"/>
    <col min="5643" max="5643" width="20.140625" style="15" customWidth="1"/>
    <col min="5644" max="5888" width="9.140625" style="15"/>
    <col min="5889" max="5889" width="13.5703125" style="15" customWidth="1"/>
    <col min="5890" max="5890" width="16.85546875" style="15" customWidth="1"/>
    <col min="5891" max="5891" width="15.5703125" style="15" customWidth="1"/>
    <col min="5892" max="5892" width="9.85546875" style="15" customWidth="1"/>
    <col min="5893" max="5893" width="22.5703125" style="15" customWidth="1"/>
    <col min="5894" max="5894" width="19.85546875" style="15" customWidth="1"/>
    <col min="5895" max="5895" width="9.140625" style="15"/>
    <col min="5896" max="5896" width="12.5703125" style="15" customWidth="1"/>
    <col min="5897" max="5897" width="9.140625" style="15"/>
    <col min="5898" max="5898" width="15.28515625" style="15" customWidth="1"/>
    <col min="5899" max="5899" width="20.140625" style="15" customWidth="1"/>
    <col min="5900" max="6144" width="9.140625" style="15"/>
    <col min="6145" max="6145" width="13.5703125" style="15" customWidth="1"/>
    <col min="6146" max="6146" width="16.85546875" style="15" customWidth="1"/>
    <col min="6147" max="6147" width="15.5703125" style="15" customWidth="1"/>
    <col min="6148" max="6148" width="9.85546875" style="15" customWidth="1"/>
    <col min="6149" max="6149" width="22.5703125" style="15" customWidth="1"/>
    <col min="6150" max="6150" width="19.85546875" style="15" customWidth="1"/>
    <col min="6151" max="6151" width="9.140625" style="15"/>
    <col min="6152" max="6152" width="12.5703125" style="15" customWidth="1"/>
    <col min="6153" max="6153" width="9.140625" style="15"/>
    <col min="6154" max="6154" width="15.28515625" style="15" customWidth="1"/>
    <col min="6155" max="6155" width="20.140625" style="15" customWidth="1"/>
    <col min="6156" max="6400" width="9.140625" style="15"/>
    <col min="6401" max="6401" width="13.5703125" style="15" customWidth="1"/>
    <col min="6402" max="6402" width="16.85546875" style="15" customWidth="1"/>
    <col min="6403" max="6403" width="15.5703125" style="15" customWidth="1"/>
    <col min="6404" max="6404" width="9.85546875" style="15" customWidth="1"/>
    <col min="6405" max="6405" width="22.5703125" style="15" customWidth="1"/>
    <col min="6406" max="6406" width="19.85546875" style="15" customWidth="1"/>
    <col min="6407" max="6407" width="9.140625" style="15"/>
    <col min="6408" max="6408" width="12.5703125" style="15" customWidth="1"/>
    <col min="6409" max="6409" width="9.140625" style="15"/>
    <col min="6410" max="6410" width="15.28515625" style="15" customWidth="1"/>
    <col min="6411" max="6411" width="20.140625" style="15" customWidth="1"/>
    <col min="6412" max="6656" width="9.140625" style="15"/>
    <col min="6657" max="6657" width="13.5703125" style="15" customWidth="1"/>
    <col min="6658" max="6658" width="16.85546875" style="15" customWidth="1"/>
    <col min="6659" max="6659" width="15.5703125" style="15" customWidth="1"/>
    <col min="6660" max="6660" width="9.85546875" style="15" customWidth="1"/>
    <col min="6661" max="6661" width="22.5703125" style="15" customWidth="1"/>
    <col min="6662" max="6662" width="19.85546875" style="15" customWidth="1"/>
    <col min="6663" max="6663" width="9.140625" style="15"/>
    <col min="6664" max="6664" width="12.5703125" style="15" customWidth="1"/>
    <col min="6665" max="6665" width="9.140625" style="15"/>
    <col min="6666" max="6666" width="15.28515625" style="15" customWidth="1"/>
    <col min="6667" max="6667" width="20.140625" style="15" customWidth="1"/>
    <col min="6668" max="6912" width="9.140625" style="15"/>
    <col min="6913" max="6913" width="13.5703125" style="15" customWidth="1"/>
    <col min="6914" max="6914" width="16.85546875" style="15" customWidth="1"/>
    <col min="6915" max="6915" width="15.5703125" style="15" customWidth="1"/>
    <col min="6916" max="6916" width="9.85546875" style="15" customWidth="1"/>
    <col min="6917" max="6917" width="22.5703125" style="15" customWidth="1"/>
    <col min="6918" max="6918" width="19.85546875" style="15" customWidth="1"/>
    <col min="6919" max="6919" width="9.140625" style="15"/>
    <col min="6920" max="6920" width="12.5703125" style="15" customWidth="1"/>
    <col min="6921" max="6921" width="9.140625" style="15"/>
    <col min="6922" max="6922" width="15.28515625" style="15" customWidth="1"/>
    <col min="6923" max="6923" width="20.140625" style="15" customWidth="1"/>
    <col min="6924" max="7168" width="9.140625" style="15"/>
    <col min="7169" max="7169" width="13.5703125" style="15" customWidth="1"/>
    <col min="7170" max="7170" width="16.85546875" style="15" customWidth="1"/>
    <col min="7171" max="7171" width="15.5703125" style="15" customWidth="1"/>
    <col min="7172" max="7172" width="9.85546875" style="15" customWidth="1"/>
    <col min="7173" max="7173" width="22.5703125" style="15" customWidth="1"/>
    <col min="7174" max="7174" width="19.85546875" style="15" customWidth="1"/>
    <col min="7175" max="7175" width="9.140625" style="15"/>
    <col min="7176" max="7176" width="12.5703125" style="15" customWidth="1"/>
    <col min="7177" max="7177" width="9.140625" style="15"/>
    <col min="7178" max="7178" width="15.28515625" style="15" customWidth="1"/>
    <col min="7179" max="7179" width="20.140625" style="15" customWidth="1"/>
    <col min="7180" max="7424" width="9.140625" style="15"/>
    <col min="7425" max="7425" width="13.5703125" style="15" customWidth="1"/>
    <col min="7426" max="7426" width="16.85546875" style="15" customWidth="1"/>
    <col min="7427" max="7427" width="15.5703125" style="15" customWidth="1"/>
    <col min="7428" max="7428" width="9.85546875" style="15" customWidth="1"/>
    <col min="7429" max="7429" width="22.5703125" style="15" customWidth="1"/>
    <col min="7430" max="7430" width="19.85546875" style="15" customWidth="1"/>
    <col min="7431" max="7431" width="9.140625" style="15"/>
    <col min="7432" max="7432" width="12.5703125" style="15" customWidth="1"/>
    <col min="7433" max="7433" width="9.140625" style="15"/>
    <col min="7434" max="7434" width="15.28515625" style="15" customWidth="1"/>
    <col min="7435" max="7435" width="20.140625" style="15" customWidth="1"/>
    <col min="7436" max="7680" width="9.140625" style="15"/>
    <col min="7681" max="7681" width="13.5703125" style="15" customWidth="1"/>
    <col min="7682" max="7682" width="16.85546875" style="15" customWidth="1"/>
    <col min="7683" max="7683" width="15.5703125" style="15" customWidth="1"/>
    <col min="7684" max="7684" width="9.85546875" style="15" customWidth="1"/>
    <col min="7685" max="7685" width="22.5703125" style="15" customWidth="1"/>
    <col min="7686" max="7686" width="19.85546875" style="15" customWidth="1"/>
    <col min="7687" max="7687" width="9.140625" style="15"/>
    <col min="7688" max="7688" width="12.5703125" style="15" customWidth="1"/>
    <col min="7689" max="7689" width="9.140625" style="15"/>
    <col min="7690" max="7690" width="15.28515625" style="15" customWidth="1"/>
    <col min="7691" max="7691" width="20.140625" style="15" customWidth="1"/>
    <col min="7692" max="7936" width="9.140625" style="15"/>
    <col min="7937" max="7937" width="13.5703125" style="15" customWidth="1"/>
    <col min="7938" max="7938" width="16.85546875" style="15" customWidth="1"/>
    <col min="7939" max="7939" width="15.5703125" style="15" customWidth="1"/>
    <col min="7940" max="7940" width="9.85546875" style="15" customWidth="1"/>
    <col min="7941" max="7941" width="22.5703125" style="15" customWidth="1"/>
    <col min="7942" max="7942" width="19.85546875" style="15" customWidth="1"/>
    <col min="7943" max="7943" width="9.140625" style="15"/>
    <col min="7944" max="7944" width="12.5703125" style="15" customWidth="1"/>
    <col min="7945" max="7945" width="9.140625" style="15"/>
    <col min="7946" max="7946" width="15.28515625" style="15" customWidth="1"/>
    <col min="7947" max="7947" width="20.140625" style="15" customWidth="1"/>
    <col min="7948" max="8192" width="9.140625" style="15"/>
    <col min="8193" max="8193" width="13.5703125" style="15" customWidth="1"/>
    <col min="8194" max="8194" width="16.85546875" style="15" customWidth="1"/>
    <col min="8195" max="8195" width="15.5703125" style="15" customWidth="1"/>
    <col min="8196" max="8196" width="9.85546875" style="15" customWidth="1"/>
    <col min="8197" max="8197" width="22.5703125" style="15" customWidth="1"/>
    <col min="8198" max="8198" width="19.85546875" style="15" customWidth="1"/>
    <col min="8199" max="8199" width="9.140625" style="15"/>
    <col min="8200" max="8200" width="12.5703125" style="15" customWidth="1"/>
    <col min="8201" max="8201" width="9.140625" style="15"/>
    <col min="8202" max="8202" width="15.28515625" style="15" customWidth="1"/>
    <col min="8203" max="8203" width="20.140625" style="15" customWidth="1"/>
    <col min="8204" max="8448" width="9.140625" style="15"/>
    <col min="8449" max="8449" width="13.5703125" style="15" customWidth="1"/>
    <col min="8450" max="8450" width="16.85546875" style="15" customWidth="1"/>
    <col min="8451" max="8451" width="15.5703125" style="15" customWidth="1"/>
    <col min="8452" max="8452" width="9.85546875" style="15" customWidth="1"/>
    <col min="8453" max="8453" width="22.5703125" style="15" customWidth="1"/>
    <col min="8454" max="8454" width="19.85546875" style="15" customWidth="1"/>
    <col min="8455" max="8455" width="9.140625" style="15"/>
    <col min="8456" max="8456" width="12.5703125" style="15" customWidth="1"/>
    <col min="8457" max="8457" width="9.140625" style="15"/>
    <col min="8458" max="8458" width="15.28515625" style="15" customWidth="1"/>
    <col min="8459" max="8459" width="20.140625" style="15" customWidth="1"/>
    <col min="8460" max="8704" width="9.140625" style="15"/>
    <col min="8705" max="8705" width="13.5703125" style="15" customWidth="1"/>
    <col min="8706" max="8706" width="16.85546875" style="15" customWidth="1"/>
    <col min="8707" max="8707" width="15.5703125" style="15" customWidth="1"/>
    <col min="8708" max="8708" width="9.85546875" style="15" customWidth="1"/>
    <col min="8709" max="8709" width="22.5703125" style="15" customWidth="1"/>
    <col min="8710" max="8710" width="19.85546875" style="15" customWidth="1"/>
    <col min="8711" max="8711" width="9.140625" style="15"/>
    <col min="8712" max="8712" width="12.5703125" style="15" customWidth="1"/>
    <col min="8713" max="8713" width="9.140625" style="15"/>
    <col min="8714" max="8714" width="15.28515625" style="15" customWidth="1"/>
    <col min="8715" max="8715" width="20.140625" style="15" customWidth="1"/>
    <col min="8716" max="8960" width="9.140625" style="15"/>
    <col min="8961" max="8961" width="13.5703125" style="15" customWidth="1"/>
    <col min="8962" max="8962" width="16.85546875" style="15" customWidth="1"/>
    <col min="8963" max="8963" width="15.5703125" style="15" customWidth="1"/>
    <col min="8964" max="8964" width="9.85546875" style="15" customWidth="1"/>
    <col min="8965" max="8965" width="22.5703125" style="15" customWidth="1"/>
    <col min="8966" max="8966" width="19.85546875" style="15" customWidth="1"/>
    <col min="8967" max="8967" width="9.140625" style="15"/>
    <col min="8968" max="8968" width="12.5703125" style="15" customWidth="1"/>
    <col min="8969" max="8969" width="9.140625" style="15"/>
    <col min="8970" max="8970" width="15.28515625" style="15" customWidth="1"/>
    <col min="8971" max="8971" width="20.140625" style="15" customWidth="1"/>
    <col min="8972" max="9216" width="9.140625" style="15"/>
    <col min="9217" max="9217" width="13.5703125" style="15" customWidth="1"/>
    <col min="9218" max="9218" width="16.85546875" style="15" customWidth="1"/>
    <col min="9219" max="9219" width="15.5703125" style="15" customWidth="1"/>
    <col min="9220" max="9220" width="9.85546875" style="15" customWidth="1"/>
    <col min="9221" max="9221" width="22.5703125" style="15" customWidth="1"/>
    <col min="9222" max="9222" width="19.85546875" style="15" customWidth="1"/>
    <col min="9223" max="9223" width="9.140625" style="15"/>
    <col min="9224" max="9224" width="12.5703125" style="15" customWidth="1"/>
    <col min="9225" max="9225" width="9.140625" style="15"/>
    <col min="9226" max="9226" width="15.28515625" style="15" customWidth="1"/>
    <col min="9227" max="9227" width="20.140625" style="15" customWidth="1"/>
    <col min="9228" max="9472" width="9.140625" style="15"/>
    <col min="9473" max="9473" width="13.5703125" style="15" customWidth="1"/>
    <col min="9474" max="9474" width="16.85546875" style="15" customWidth="1"/>
    <col min="9475" max="9475" width="15.5703125" style="15" customWidth="1"/>
    <col min="9476" max="9476" width="9.85546875" style="15" customWidth="1"/>
    <col min="9477" max="9477" width="22.5703125" style="15" customWidth="1"/>
    <col min="9478" max="9478" width="19.85546875" style="15" customWidth="1"/>
    <col min="9479" max="9479" width="9.140625" style="15"/>
    <col min="9480" max="9480" width="12.5703125" style="15" customWidth="1"/>
    <col min="9481" max="9481" width="9.140625" style="15"/>
    <col min="9482" max="9482" width="15.28515625" style="15" customWidth="1"/>
    <col min="9483" max="9483" width="20.140625" style="15" customWidth="1"/>
    <col min="9484" max="9728" width="9.140625" style="15"/>
    <col min="9729" max="9729" width="13.5703125" style="15" customWidth="1"/>
    <col min="9730" max="9730" width="16.85546875" style="15" customWidth="1"/>
    <col min="9731" max="9731" width="15.5703125" style="15" customWidth="1"/>
    <col min="9732" max="9732" width="9.85546875" style="15" customWidth="1"/>
    <col min="9733" max="9733" width="22.5703125" style="15" customWidth="1"/>
    <col min="9734" max="9734" width="19.85546875" style="15" customWidth="1"/>
    <col min="9735" max="9735" width="9.140625" style="15"/>
    <col min="9736" max="9736" width="12.5703125" style="15" customWidth="1"/>
    <col min="9737" max="9737" width="9.140625" style="15"/>
    <col min="9738" max="9738" width="15.28515625" style="15" customWidth="1"/>
    <col min="9739" max="9739" width="20.140625" style="15" customWidth="1"/>
    <col min="9740" max="9984" width="9.140625" style="15"/>
    <col min="9985" max="9985" width="13.5703125" style="15" customWidth="1"/>
    <col min="9986" max="9986" width="16.85546875" style="15" customWidth="1"/>
    <col min="9987" max="9987" width="15.5703125" style="15" customWidth="1"/>
    <col min="9988" max="9988" width="9.85546875" style="15" customWidth="1"/>
    <col min="9989" max="9989" width="22.5703125" style="15" customWidth="1"/>
    <col min="9990" max="9990" width="19.85546875" style="15" customWidth="1"/>
    <col min="9991" max="9991" width="9.140625" style="15"/>
    <col min="9992" max="9992" width="12.5703125" style="15" customWidth="1"/>
    <col min="9993" max="9993" width="9.140625" style="15"/>
    <col min="9994" max="9994" width="15.28515625" style="15" customWidth="1"/>
    <col min="9995" max="9995" width="20.140625" style="15" customWidth="1"/>
    <col min="9996" max="10240" width="9.140625" style="15"/>
    <col min="10241" max="10241" width="13.5703125" style="15" customWidth="1"/>
    <col min="10242" max="10242" width="16.85546875" style="15" customWidth="1"/>
    <col min="10243" max="10243" width="15.5703125" style="15" customWidth="1"/>
    <col min="10244" max="10244" width="9.85546875" style="15" customWidth="1"/>
    <col min="10245" max="10245" width="22.5703125" style="15" customWidth="1"/>
    <col min="10246" max="10246" width="19.85546875" style="15" customWidth="1"/>
    <col min="10247" max="10247" width="9.140625" style="15"/>
    <col min="10248" max="10248" width="12.5703125" style="15" customWidth="1"/>
    <col min="10249" max="10249" width="9.140625" style="15"/>
    <col min="10250" max="10250" width="15.28515625" style="15" customWidth="1"/>
    <col min="10251" max="10251" width="20.140625" style="15" customWidth="1"/>
    <col min="10252" max="10496" width="9.140625" style="15"/>
    <col min="10497" max="10497" width="13.5703125" style="15" customWidth="1"/>
    <col min="10498" max="10498" width="16.85546875" style="15" customWidth="1"/>
    <col min="10499" max="10499" width="15.5703125" style="15" customWidth="1"/>
    <col min="10500" max="10500" width="9.85546875" style="15" customWidth="1"/>
    <col min="10501" max="10501" width="22.5703125" style="15" customWidth="1"/>
    <col min="10502" max="10502" width="19.85546875" style="15" customWidth="1"/>
    <col min="10503" max="10503" width="9.140625" style="15"/>
    <col min="10504" max="10504" width="12.5703125" style="15" customWidth="1"/>
    <col min="10505" max="10505" width="9.140625" style="15"/>
    <col min="10506" max="10506" width="15.28515625" style="15" customWidth="1"/>
    <col min="10507" max="10507" width="20.140625" style="15" customWidth="1"/>
    <col min="10508" max="10752" width="9.140625" style="15"/>
    <col min="10753" max="10753" width="13.5703125" style="15" customWidth="1"/>
    <col min="10754" max="10754" width="16.85546875" style="15" customWidth="1"/>
    <col min="10755" max="10755" width="15.5703125" style="15" customWidth="1"/>
    <col min="10756" max="10756" width="9.85546875" style="15" customWidth="1"/>
    <col min="10757" max="10757" width="22.5703125" style="15" customWidth="1"/>
    <col min="10758" max="10758" width="19.85546875" style="15" customWidth="1"/>
    <col min="10759" max="10759" width="9.140625" style="15"/>
    <col min="10760" max="10760" width="12.5703125" style="15" customWidth="1"/>
    <col min="10761" max="10761" width="9.140625" style="15"/>
    <col min="10762" max="10762" width="15.28515625" style="15" customWidth="1"/>
    <col min="10763" max="10763" width="20.140625" style="15" customWidth="1"/>
    <col min="10764" max="11008" width="9.140625" style="15"/>
    <col min="11009" max="11009" width="13.5703125" style="15" customWidth="1"/>
    <col min="11010" max="11010" width="16.85546875" style="15" customWidth="1"/>
    <col min="11011" max="11011" width="15.5703125" style="15" customWidth="1"/>
    <col min="11012" max="11012" width="9.85546875" style="15" customWidth="1"/>
    <col min="11013" max="11013" width="22.5703125" style="15" customWidth="1"/>
    <col min="11014" max="11014" width="19.85546875" style="15" customWidth="1"/>
    <col min="11015" max="11015" width="9.140625" style="15"/>
    <col min="11016" max="11016" width="12.5703125" style="15" customWidth="1"/>
    <col min="11017" max="11017" width="9.140625" style="15"/>
    <col min="11018" max="11018" width="15.28515625" style="15" customWidth="1"/>
    <col min="11019" max="11019" width="20.140625" style="15" customWidth="1"/>
    <col min="11020" max="11264" width="9.140625" style="15"/>
    <col min="11265" max="11265" width="13.5703125" style="15" customWidth="1"/>
    <col min="11266" max="11266" width="16.85546875" style="15" customWidth="1"/>
    <col min="11267" max="11267" width="15.5703125" style="15" customWidth="1"/>
    <col min="11268" max="11268" width="9.85546875" style="15" customWidth="1"/>
    <col min="11269" max="11269" width="22.5703125" style="15" customWidth="1"/>
    <col min="11270" max="11270" width="19.85546875" style="15" customWidth="1"/>
    <col min="11271" max="11271" width="9.140625" style="15"/>
    <col min="11272" max="11272" width="12.5703125" style="15" customWidth="1"/>
    <col min="11273" max="11273" width="9.140625" style="15"/>
    <col min="11274" max="11274" width="15.28515625" style="15" customWidth="1"/>
    <col min="11275" max="11275" width="20.140625" style="15" customWidth="1"/>
    <col min="11276" max="11520" width="9.140625" style="15"/>
    <col min="11521" max="11521" width="13.5703125" style="15" customWidth="1"/>
    <col min="11522" max="11522" width="16.85546875" style="15" customWidth="1"/>
    <col min="11523" max="11523" width="15.5703125" style="15" customWidth="1"/>
    <col min="11524" max="11524" width="9.85546875" style="15" customWidth="1"/>
    <col min="11525" max="11525" width="22.5703125" style="15" customWidth="1"/>
    <col min="11526" max="11526" width="19.85546875" style="15" customWidth="1"/>
    <col min="11527" max="11527" width="9.140625" style="15"/>
    <col min="11528" max="11528" width="12.5703125" style="15" customWidth="1"/>
    <col min="11529" max="11529" width="9.140625" style="15"/>
    <col min="11530" max="11530" width="15.28515625" style="15" customWidth="1"/>
    <col min="11531" max="11531" width="20.140625" style="15" customWidth="1"/>
    <col min="11532" max="11776" width="9.140625" style="15"/>
    <col min="11777" max="11777" width="13.5703125" style="15" customWidth="1"/>
    <col min="11778" max="11778" width="16.85546875" style="15" customWidth="1"/>
    <col min="11779" max="11779" width="15.5703125" style="15" customWidth="1"/>
    <col min="11780" max="11780" width="9.85546875" style="15" customWidth="1"/>
    <col min="11781" max="11781" width="22.5703125" style="15" customWidth="1"/>
    <col min="11782" max="11782" width="19.85546875" style="15" customWidth="1"/>
    <col min="11783" max="11783" width="9.140625" style="15"/>
    <col min="11784" max="11784" width="12.5703125" style="15" customWidth="1"/>
    <col min="11785" max="11785" width="9.140625" style="15"/>
    <col min="11786" max="11786" width="15.28515625" style="15" customWidth="1"/>
    <col min="11787" max="11787" width="20.140625" style="15" customWidth="1"/>
    <col min="11788" max="12032" width="9.140625" style="15"/>
    <col min="12033" max="12033" width="13.5703125" style="15" customWidth="1"/>
    <col min="12034" max="12034" width="16.85546875" style="15" customWidth="1"/>
    <col min="12035" max="12035" width="15.5703125" style="15" customWidth="1"/>
    <col min="12036" max="12036" width="9.85546875" style="15" customWidth="1"/>
    <col min="12037" max="12037" width="22.5703125" style="15" customWidth="1"/>
    <col min="12038" max="12038" width="19.85546875" style="15" customWidth="1"/>
    <col min="12039" max="12039" width="9.140625" style="15"/>
    <col min="12040" max="12040" width="12.5703125" style="15" customWidth="1"/>
    <col min="12041" max="12041" width="9.140625" style="15"/>
    <col min="12042" max="12042" width="15.28515625" style="15" customWidth="1"/>
    <col min="12043" max="12043" width="20.140625" style="15" customWidth="1"/>
    <col min="12044" max="12288" width="9.140625" style="15"/>
    <col min="12289" max="12289" width="13.5703125" style="15" customWidth="1"/>
    <col min="12290" max="12290" width="16.85546875" style="15" customWidth="1"/>
    <col min="12291" max="12291" width="15.5703125" style="15" customWidth="1"/>
    <col min="12292" max="12292" width="9.85546875" style="15" customWidth="1"/>
    <col min="12293" max="12293" width="22.5703125" style="15" customWidth="1"/>
    <col min="12294" max="12294" width="19.85546875" style="15" customWidth="1"/>
    <col min="12295" max="12295" width="9.140625" style="15"/>
    <col min="12296" max="12296" width="12.5703125" style="15" customWidth="1"/>
    <col min="12297" max="12297" width="9.140625" style="15"/>
    <col min="12298" max="12298" width="15.28515625" style="15" customWidth="1"/>
    <col min="12299" max="12299" width="20.140625" style="15" customWidth="1"/>
    <col min="12300" max="12544" width="9.140625" style="15"/>
    <col min="12545" max="12545" width="13.5703125" style="15" customWidth="1"/>
    <col min="12546" max="12546" width="16.85546875" style="15" customWidth="1"/>
    <col min="12547" max="12547" width="15.5703125" style="15" customWidth="1"/>
    <col min="12548" max="12548" width="9.85546875" style="15" customWidth="1"/>
    <col min="12549" max="12549" width="22.5703125" style="15" customWidth="1"/>
    <col min="12550" max="12550" width="19.85546875" style="15" customWidth="1"/>
    <col min="12551" max="12551" width="9.140625" style="15"/>
    <col min="12552" max="12552" width="12.5703125" style="15" customWidth="1"/>
    <col min="12553" max="12553" width="9.140625" style="15"/>
    <col min="12554" max="12554" width="15.28515625" style="15" customWidth="1"/>
    <col min="12555" max="12555" width="20.140625" style="15" customWidth="1"/>
    <col min="12556" max="12800" width="9.140625" style="15"/>
    <col min="12801" max="12801" width="13.5703125" style="15" customWidth="1"/>
    <col min="12802" max="12802" width="16.85546875" style="15" customWidth="1"/>
    <col min="12803" max="12803" width="15.5703125" style="15" customWidth="1"/>
    <col min="12804" max="12804" width="9.85546875" style="15" customWidth="1"/>
    <col min="12805" max="12805" width="22.5703125" style="15" customWidth="1"/>
    <col min="12806" max="12806" width="19.85546875" style="15" customWidth="1"/>
    <col min="12807" max="12807" width="9.140625" style="15"/>
    <col min="12808" max="12808" width="12.5703125" style="15" customWidth="1"/>
    <col min="12809" max="12809" width="9.140625" style="15"/>
    <col min="12810" max="12810" width="15.28515625" style="15" customWidth="1"/>
    <col min="12811" max="12811" width="20.140625" style="15" customWidth="1"/>
    <col min="12812" max="13056" width="9.140625" style="15"/>
    <col min="13057" max="13057" width="13.5703125" style="15" customWidth="1"/>
    <col min="13058" max="13058" width="16.85546875" style="15" customWidth="1"/>
    <col min="13059" max="13059" width="15.5703125" style="15" customWidth="1"/>
    <col min="13060" max="13060" width="9.85546875" style="15" customWidth="1"/>
    <col min="13061" max="13061" width="22.5703125" style="15" customWidth="1"/>
    <col min="13062" max="13062" width="19.85546875" style="15" customWidth="1"/>
    <col min="13063" max="13063" width="9.140625" style="15"/>
    <col min="13064" max="13064" width="12.5703125" style="15" customWidth="1"/>
    <col min="13065" max="13065" width="9.140625" style="15"/>
    <col min="13066" max="13066" width="15.28515625" style="15" customWidth="1"/>
    <col min="13067" max="13067" width="20.140625" style="15" customWidth="1"/>
    <col min="13068" max="13312" width="9.140625" style="15"/>
    <col min="13313" max="13313" width="13.5703125" style="15" customWidth="1"/>
    <col min="13314" max="13314" width="16.85546875" style="15" customWidth="1"/>
    <col min="13315" max="13315" width="15.5703125" style="15" customWidth="1"/>
    <col min="13316" max="13316" width="9.85546875" style="15" customWidth="1"/>
    <col min="13317" max="13317" width="22.5703125" style="15" customWidth="1"/>
    <col min="13318" max="13318" width="19.85546875" style="15" customWidth="1"/>
    <col min="13319" max="13319" width="9.140625" style="15"/>
    <col min="13320" max="13320" width="12.5703125" style="15" customWidth="1"/>
    <col min="13321" max="13321" width="9.140625" style="15"/>
    <col min="13322" max="13322" width="15.28515625" style="15" customWidth="1"/>
    <col min="13323" max="13323" width="20.140625" style="15" customWidth="1"/>
    <col min="13324" max="13568" width="9.140625" style="15"/>
    <col min="13569" max="13569" width="13.5703125" style="15" customWidth="1"/>
    <col min="13570" max="13570" width="16.85546875" style="15" customWidth="1"/>
    <col min="13571" max="13571" width="15.5703125" style="15" customWidth="1"/>
    <col min="13572" max="13572" width="9.85546875" style="15" customWidth="1"/>
    <col min="13573" max="13573" width="22.5703125" style="15" customWidth="1"/>
    <col min="13574" max="13574" width="19.85546875" style="15" customWidth="1"/>
    <col min="13575" max="13575" width="9.140625" style="15"/>
    <col min="13576" max="13576" width="12.5703125" style="15" customWidth="1"/>
    <col min="13577" max="13577" width="9.140625" style="15"/>
    <col min="13578" max="13578" width="15.28515625" style="15" customWidth="1"/>
    <col min="13579" max="13579" width="20.140625" style="15" customWidth="1"/>
    <col min="13580" max="13824" width="9.140625" style="15"/>
    <col min="13825" max="13825" width="13.5703125" style="15" customWidth="1"/>
    <col min="13826" max="13826" width="16.85546875" style="15" customWidth="1"/>
    <col min="13827" max="13827" width="15.5703125" style="15" customWidth="1"/>
    <col min="13828" max="13828" width="9.85546875" style="15" customWidth="1"/>
    <col min="13829" max="13829" width="22.5703125" style="15" customWidth="1"/>
    <col min="13830" max="13830" width="19.85546875" style="15" customWidth="1"/>
    <col min="13831" max="13831" width="9.140625" style="15"/>
    <col min="13832" max="13832" width="12.5703125" style="15" customWidth="1"/>
    <col min="13833" max="13833" width="9.140625" style="15"/>
    <col min="13834" max="13834" width="15.28515625" style="15" customWidth="1"/>
    <col min="13835" max="13835" width="20.140625" style="15" customWidth="1"/>
    <col min="13836" max="14080" width="9.140625" style="15"/>
    <col min="14081" max="14081" width="13.5703125" style="15" customWidth="1"/>
    <col min="14082" max="14082" width="16.85546875" style="15" customWidth="1"/>
    <col min="14083" max="14083" width="15.5703125" style="15" customWidth="1"/>
    <col min="14084" max="14084" width="9.85546875" style="15" customWidth="1"/>
    <col min="14085" max="14085" width="22.5703125" style="15" customWidth="1"/>
    <col min="14086" max="14086" width="19.85546875" style="15" customWidth="1"/>
    <col min="14087" max="14087" width="9.140625" style="15"/>
    <col min="14088" max="14088" width="12.5703125" style="15" customWidth="1"/>
    <col min="14089" max="14089" width="9.140625" style="15"/>
    <col min="14090" max="14090" width="15.28515625" style="15" customWidth="1"/>
    <col min="14091" max="14091" width="20.140625" style="15" customWidth="1"/>
    <col min="14092" max="14336" width="9.140625" style="15"/>
    <col min="14337" max="14337" width="13.5703125" style="15" customWidth="1"/>
    <col min="14338" max="14338" width="16.85546875" style="15" customWidth="1"/>
    <col min="14339" max="14339" width="15.5703125" style="15" customWidth="1"/>
    <col min="14340" max="14340" width="9.85546875" style="15" customWidth="1"/>
    <col min="14341" max="14341" width="22.5703125" style="15" customWidth="1"/>
    <col min="14342" max="14342" width="19.85546875" style="15" customWidth="1"/>
    <col min="14343" max="14343" width="9.140625" style="15"/>
    <col min="14344" max="14344" width="12.5703125" style="15" customWidth="1"/>
    <col min="14345" max="14345" width="9.140625" style="15"/>
    <col min="14346" max="14346" width="15.28515625" style="15" customWidth="1"/>
    <col min="14347" max="14347" width="20.140625" style="15" customWidth="1"/>
    <col min="14348" max="14592" width="9.140625" style="15"/>
    <col min="14593" max="14593" width="13.5703125" style="15" customWidth="1"/>
    <col min="14594" max="14594" width="16.85546875" style="15" customWidth="1"/>
    <col min="14595" max="14595" width="15.5703125" style="15" customWidth="1"/>
    <col min="14596" max="14596" width="9.85546875" style="15" customWidth="1"/>
    <col min="14597" max="14597" width="22.5703125" style="15" customWidth="1"/>
    <col min="14598" max="14598" width="19.85546875" style="15" customWidth="1"/>
    <col min="14599" max="14599" width="9.140625" style="15"/>
    <col min="14600" max="14600" width="12.5703125" style="15" customWidth="1"/>
    <col min="14601" max="14601" width="9.140625" style="15"/>
    <col min="14602" max="14602" width="15.28515625" style="15" customWidth="1"/>
    <col min="14603" max="14603" width="20.140625" style="15" customWidth="1"/>
    <col min="14604" max="14848" width="9.140625" style="15"/>
    <col min="14849" max="14849" width="13.5703125" style="15" customWidth="1"/>
    <col min="14850" max="14850" width="16.85546875" style="15" customWidth="1"/>
    <col min="14851" max="14851" width="15.5703125" style="15" customWidth="1"/>
    <col min="14852" max="14852" width="9.85546875" style="15" customWidth="1"/>
    <col min="14853" max="14853" width="22.5703125" style="15" customWidth="1"/>
    <col min="14854" max="14854" width="19.85546875" style="15" customWidth="1"/>
    <col min="14855" max="14855" width="9.140625" style="15"/>
    <col min="14856" max="14856" width="12.5703125" style="15" customWidth="1"/>
    <col min="14857" max="14857" width="9.140625" style="15"/>
    <col min="14858" max="14858" width="15.28515625" style="15" customWidth="1"/>
    <col min="14859" max="14859" width="20.140625" style="15" customWidth="1"/>
    <col min="14860" max="15104" width="9.140625" style="15"/>
    <col min="15105" max="15105" width="13.5703125" style="15" customWidth="1"/>
    <col min="15106" max="15106" width="16.85546875" style="15" customWidth="1"/>
    <col min="15107" max="15107" width="15.5703125" style="15" customWidth="1"/>
    <col min="15108" max="15108" width="9.85546875" style="15" customWidth="1"/>
    <col min="15109" max="15109" width="22.5703125" style="15" customWidth="1"/>
    <col min="15110" max="15110" width="19.85546875" style="15" customWidth="1"/>
    <col min="15111" max="15111" width="9.140625" style="15"/>
    <col min="15112" max="15112" width="12.5703125" style="15" customWidth="1"/>
    <col min="15113" max="15113" width="9.140625" style="15"/>
    <col min="15114" max="15114" width="15.28515625" style="15" customWidth="1"/>
    <col min="15115" max="15115" width="20.140625" style="15" customWidth="1"/>
    <col min="15116" max="15360" width="9.140625" style="15"/>
    <col min="15361" max="15361" width="13.5703125" style="15" customWidth="1"/>
    <col min="15362" max="15362" width="16.85546875" style="15" customWidth="1"/>
    <col min="15363" max="15363" width="15.5703125" style="15" customWidth="1"/>
    <col min="15364" max="15364" width="9.85546875" style="15" customWidth="1"/>
    <col min="15365" max="15365" width="22.5703125" style="15" customWidth="1"/>
    <col min="15366" max="15366" width="19.85546875" style="15" customWidth="1"/>
    <col min="15367" max="15367" width="9.140625" style="15"/>
    <col min="15368" max="15368" width="12.5703125" style="15" customWidth="1"/>
    <col min="15369" max="15369" width="9.140625" style="15"/>
    <col min="15370" max="15370" width="15.28515625" style="15" customWidth="1"/>
    <col min="15371" max="15371" width="20.140625" style="15" customWidth="1"/>
    <col min="15372" max="15616" width="9.140625" style="15"/>
    <col min="15617" max="15617" width="13.5703125" style="15" customWidth="1"/>
    <col min="15618" max="15618" width="16.85546875" style="15" customWidth="1"/>
    <col min="15619" max="15619" width="15.5703125" style="15" customWidth="1"/>
    <col min="15620" max="15620" width="9.85546875" style="15" customWidth="1"/>
    <col min="15621" max="15621" width="22.5703125" style="15" customWidth="1"/>
    <col min="15622" max="15622" width="19.85546875" style="15" customWidth="1"/>
    <col min="15623" max="15623" width="9.140625" style="15"/>
    <col min="15624" max="15624" width="12.5703125" style="15" customWidth="1"/>
    <col min="15625" max="15625" width="9.140625" style="15"/>
    <col min="15626" max="15626" width="15.28515625" style="15" customWidth="1"/>
    <col min="15627" max="15627" width="20.140625" style="15" customWidth="1"/>
    <col min="15628" max="15872" width="9.140625" style="15"/>
    <col min="15873" max="15873" width="13.5703125" style="15" customWidth="1"/>
    <col min="15874" max="15874" width="16.85546875" style="15" customWidth="1"/>
    <col min="15875" max="15875" width="15.5703125" style="15" customWidth="1"/>
    <col min="15876" max="15876" width="9.85546875" style="15" customWidth="1"/>
    <col min="15877" max="15877" width="22.5703125" style="15" customWidth="1"/>
    <col min="15878" max="15878" width="19.85546875" style="15" customWidth="1"/>
    <col min="15879" max="15879" width="9.140625" style="15"/>
    <col min="15880" max="15880" width="12.5703125" style="15" customWidth="1"/>
    <col min="15881" max="15881" width="9.140625" style="15"/>
    <col min="15882" max="15882" width="15.28515625" style="15" customWidth="1"/>
    <col min="15883" max="15883" width="20.140625" style="15" customWidth="1"/>
    <col min="15884" max="16128" width="9.140625" style="15"/>
    <col min="16129" max="16129" width="13.5703125" style="15" customWidth="1"/>
    <col min="16130" max="16130" width="16.85546875" style="15" customWidth="1"/>
    <col min="16131" max="16131" width="15.5703125" style="15" customWidth="1"/>
    <col min="16132" max="16132" width="9.85546875" style="15" customWidth="1"/>
    <col min="16133" max="16133" width="22.5703125" style="15" customWidth="1"/>
    <col min="16134" max="16134" width="19.85546875" style="15" customWidth="1"/>
    <col min="16135" max="16135" width="9.140625" style="15"/>
    <col min="16136" max="16136" width="12.5703125" style="15" customWidth="1"/>
    <col min="16137" max="16137" width="9.140625" style="15"/>
    <col min="16138" max="16138" width="15.28515625" style="15" customWidth="1"/>
    <col min="16139" max="16139" width="20.140625" style="15" customWidth="1"/>
    <col min="16140" max="16384" width="9.140625" style="15"/>
  </cols>
  <sheetData>
    <row r="3" spans="1:14">
      <c r="B3" s="46" t="s">
        <v>104</v>
      </c>
    </row>
    <row r="4" spans="1:14">
      <c r="A4" s="47" t="s">
        <v>105</v>
      </c>
      <c r="B4" s="47" t="s">
        <v>1</v>
      </c>
      <c r="C4" s="47" t="s">
        <v>106</v>
      </c>
      <c r="D4" s="47" t="s">
        <v>107</v>
      </c>
      <c r="E4" s="47" t="s">
        <v>126</v>
      </c>
      <c r="F4" s="48" t="s">
        <v>108</v>
      </c>
      <c r="G4" s="49"/>
      <c r="H4" s="49"/>
      <c r="I4" s="49"/>
      <c r="J4" s="49"/>
      <c r="K4" s="49"/>
      <c r="L4" s="49"/>
      <c r="M4" s="49"/>
      <c r="N4" s="49"/>
    </row>
    <row r="5" spans="1:14">
      <c r="A5" s="50">
        <v>1</v>
      </c>
      <c r="B5" s="51" t="s">
        <v>109</v>
      </c>
      <c r="C5" s="52">
        <v>0.2</v>
      </c>
      <c r="D5" s="51" t="s">
        <v>110</v>
      </c>
      <c r="E5" s="51">
        <f>SUMIF($F:$F, D5, $I:$I)</f>
        <v>655.30000000000007</v>
      </c>
      <c r="F5" s="49" t="s">
        <v>111</v>
      </c>
      <c r="G5" s="49"/>
      <c r="H5" s="49"/>
      <c r="I5" s="49"/>
      <c r="J5" s="49"/>
      <c r="K5" s="49"/>
      <c r="L5" s="49"/>
      <c r="M5" s="49"/>
      <c r="N5" s="49"/>
    </row>
    <row r="6" spans="1:14">
      <c r="A6" s="50">
        <v>2</v>
      </c>
      <c r="B6" s="51" t="s">
        <v>112</v>
      </c>
      <c r="C6" s="52">
        <v>0.5</v>
      </c>
      <c r="D6" s="51" t="s">
        <v>110</v>
      </c>
      <c r="E6" s="51">
        <f t="shared" ref="E6:E9" si="0">SUMIF($F:$F, D6, $I:$I)</f>
        <v>655.30000000000007</v>
      </c>
      <c r="F6" s="49" t="s">
        <v>113</v>
      </c>
      <c r="G6" s="49"/>
      <c r="H6" s="49"/>
      <c r="I6" s="49"/>
      <c r="J6" s="49"/>
      <c r="K6" s="49"/>
      <c r="L6" s="49"/>
      <c r="M6" s="49"/>
      <c r="N6" s="49"/>
    </row>
    <row r="7" spans="1:14">
      <c r="A7" s="50">
        <v>3</v>
      </c>
      <c r="B7" s="51" t="s">
        <v>114</v>
      </c>
      <c r="C7" s="52">
        <v>7.3</v>
      </c>
      <c r="D7" s="51" t="s">
        <v>115</v>
      </c>
      <c r="E7" s="51">
        <f t="shared" si="0"/>
        <v>7482.4999999999991</v>
      </c>
      <c r="F7" s="49" t="s">
        <v>116</v>
      </c>
      <c r="G7" s="49"/>
      <c r="H7" s="49"/>
      <c r="I7" s="49"/>
      <c r="J7" s="49"/>
      <c r="K7" s="49"/>
      <c r="L7" s="49"/>
      <c r="M7" s="49"/>
      <c r="N7" s="49"/>
    </row>
    <row r="8" spans="1:14">
      <c r="A8" s="50">
        <v>4</v>
      </c>
      <c r="B8" s="51" t="s">
        <v>117</v>
      </c>
      <c r="C8" s="52">
        <v>0.8</v>
      </c>
      <c r="D8" s="51" t="s">
        <v>118</v>
      </c>
      <c r="E8" s="51">
        <f t="shared" si="0"/>
        <v>1227.6000000000001</v>
      </c>
    </row>
    <row r="9" spans="1:14">
      <c r="A9" s="50">
        <v>5</v>
      </c>
      <c r="B9" s="51" t="s">
        <v>119</v>
      </c>
      <c r="C9" s="52">
        <v>0.4</v>
      </c>
      <c r="D9" s="51" t="s">
        <v>118</v>
      </c>
      <c r="E9" s="51">
        <f t="shared" si="0"/>
        <v>1227.6000000000001</v>
      </c>
    </row>
    <row r="12" spans="1:14">
      <c r="D12" s="46" t="s">
        <v>120</v>
      </c>
    </row>
    <row r="14" spans="1:14">
      <c r="A14" s="53" t="s">
        <v>121</v>
      </c>
      <c r="B14" s="54" t="s">
        <v>122</v>
      </c>
      <c r="C14" s="55" t="s">
        <v>123</v>
      </c>
      <c r="D14" s="56" t="s">
        <v>105</v>
      </c>
      <c r="E14" s="55" t="s">
        <v>124</v>
      </c>
      <c r="F14" s="57" t="s">
        <v>107</v>
      </c>
      <c r="G14" s="55" t="s">
        <v>106</v>
      </c>
      <c r="H14" s="56" t="s">
        <v>125</v>
      </c>
      <c r="I14" s="55" t="s">
        <v>126</v>
      </c>
      <c r="J14" s="58" t="s">
        <v>127</v>
      </c>
      <c r="K14" s="58" t="s">
        <v>128</v>
      </c>
    </row>
    <row r="15" spans="1:14">
      <c r="A15" s="59">
        <v>54</v>
      </c>
      <c r="B15" s="60">
        <v>7</v>
      </c>
      <c r="C15" s="61" t="s">
        <v>129</v>
      </c>
      <c r="D15" s="60">
        <v>5</v>
      </c>
      <c r="E15" s="61" t="s">
        <v>119</v>
      </c>
      <c r="F15" s="61" t="str">
        <f>VLOOKUP(E15, $B$4:$D$9, 3,FALSE)</f>
        <v>Папиросы</v>
      </c>
      <c r="G15" s="52">
        <v>0.4</v>
      </c>
      <c r="H15" s="60">
        <v>20</v>
      </c>
      <c r="I15" s="52">
        <f>G15*H15</f>
        <v>8</v>
      </c>
      <c r="J15" s="60">
        <v>2</v>
      </c>
      <c r="K15" s="61" t="s">
        <v>130</v>
      </c>
    </row>
    <row r="16" spans="1:14">
      <c r="A16" s="59">
        <v>57.13480993885787</v>
      </c>
      <c r="B16" s="60">
        <v>2</v>
      </c>
      <c r="C16" s="61" t="s">
        <v>131</v>
      </c>
      <c r="D16" s="60">
        <v>2</v>
      </c>
      <c r="E16" s="61" t="s">
        <v>112</v>
      </c>
      <c r="F16" s="61" t="str">
        <f t="shared" ref="F16:F79" si="1">VLOOKUP(E16, $B$4:$D$9, 3,FALSE)</f>
        <v>Табак</v>
      </c>
      <c r="G16" s="52">
        <v>0.5</v>
      </c>
      <c r="H16" s="60">
        <v>22</v>
      </c>
      <c r="I16" s="52">
        <f t="shared" ref="I16:I79" si="2">G16*H16</f>
        <v>11</v>
      </c>
      <c r="J16" s="60">
        <v>5</v>
      </c>
      <c r="K16" s="61" t="s">
        <v>132</v>
      </c>
    </row>
    <row r="17" spans="1:11">
      <c r="A17" s="59">
        <v>46.102766203703702</v>
      </c>
      <c r="B17" s="60">
        <v>5</v>
      </c>
      <c r="C17" s="61" t="s">
        <v>133</v>
      </c>
      <c r="D17" s="60">
        <v>5</v>
      </c>
      <c r="E17" s="61" t="s">
        <v>119</v>
      </c>
      <c r="F17" s="61" t="str">
        <f t="shared" si="1"/>
        <v>Папиросы</v>
      </c>
      <c r="G17" s="52">
        <v>0.4</v>
      </c>
      <c r="H17" s="60">
        <v>37</v>
      </c>
      <c r="I17" s="52">
        <f t="shared" si="2"/>
        <v>14.8</v>
      </c>
      <c r="J17" s="60">
        <v>3</v>
      </c>
      <c r="K17" s="61" t="s">
        <v>134</v>
      </c>
    </row>
    <row r="18" spans="1:11">
      <c r="A18" s="59">
        <v>304.3847367375165</v>
      </c>
      <c r="B18" s="60">
        <v>3</v>
      </c>
      <c r="C18" s="61" t="s">
        <v>135</v>
      </c>
      <c r="D18" s="60">
        <v>3</v>
      </c>
      <c r="E18" s="61" t="s">
        <v>114</v>
      </c>
      <c r="F18" s="61" t="str">
        <f t="shared" si="1"/>
        <v>Сигары</v>
      </c>
      <c r="G18" s="52">
        <v>7.3</v>
      </c>
      <c r="H18" s="60">
        <v>33</v>
      </c>
      <c r="I18" s="52">
        <f t="shared" si="2"/>
        <v>240.9</v>
      </c>
      <c r="J18" s="60">
        <v>2</v>
      </c>
      <c r="K18" s="61" t="s">
        <v>130</v>
      </c>
    </row>
    <row r="19" spans="1:11">
      <c r="A19" s="59">
        <v>124.63385414958884</v>
      </c>
      <c r="B19" s="60">
        <v>6</v>
      </c>
      <c r="C19" s="61" t="s">
        <v>136</v>
      </c>
      <c r="D19" s="60">
        <v>5</v>
      </c>
      <c r="E19" s="61" t="s">
        <v>119</v>
      </c>
      <c r="F19" s="61" t="str">
        <f t="shared" si="1"/>
        <v>Папиросы</v>
      </c>
      <c r="G19" s="52">
        <v>0.4</v>
      </c>
      <c r="H19" s="60">
        <v>88</v>
      </c>
      <c r="I19" s="52">
        <f t="shared" si="2"/>
        <v>35.200000000000003</v>
      </c>
      <c r="J19" s="60">
        <v>1</v>
      </c>
      <c r="K19" s="61" t="s">
        <v>137</v>
      </c>
    </row>
    <row r="20" spans="1:11">
      <c r="A20" s="59">
        <v>296.21595811201223</v>
      </c>
      <c r="B20" s="60">
        <v>8</v>
      </c>
      <c r="C20" s="61" t="s">
        <v>138</v>
      </c>
      <c r="D20" s="60">
        <v>2</v>
      </c>
      <c r="E20" s="61" t="s">
        <v>112</v>
      </c>
      <c r="F20" s="61" t="str">
        <f t="shared" si="1"/>
        <v>Табак</v>
      </c>
      <c r="G20" s="52">
        <v>0.5</v>
      </c>
      <c r="H20" s="60">
        <v>55</v>
      </c>
      <c r="I20" s="52">
        <f t="shared" si="2"/>
        <v>27.5</v>
      </c>
      <c r="J20" s="60">
        <v>6</v>
      </c>
      <c r="K20" s="61" t="s">
        <v>139</v>
      </c>
    </row>
    <row r="21" spans="1:11">
      <c r="A21" s="59">
        <v>199.0589730721158</v>
      </c>
      <c r="B21" s="60">
        <v>1</v>
      </c>
      <c r="C21" s="61" t="s">
        <v>140</v>
      </c>
      <c r="D21" s="60">
        <v>1</v>
      </c>
      <c r="E21" s="61" t="s">
        <v>109</v>
      </c>
      <c r="F21" s="61" t="str">
        <f t="shared" si="1"/>
        <v>Табак</v>
      </c>
      <c r="G21" s="52">
        <v>0.2</v>
      </c>
      <c r="H21" s="60">
        <v>67</v>
      </c>
      <c r="I21" s="52">
        <f t="shared" si="2"/>
        <v>13.4</v>
      </c>
      <c r="J21" s="60">
        <v>4</v>
      </c>
      <c r="K21" s="61" t="s">
        <v>141</v>
      </c>
    </row>
    <row r="22" spans="1:11">
      <c r="A22" s="59">
        <v>40.30890046296296</v>
      </c>
      <c r="B22" s="60">
        <v>7</v>
      </c>
      <c r="C22" s="61" t="s">
        <v>129</v>
      </c>
      <c r="D22" s="60">
        <v>3</v>
      </c>
      <c r="E22" s="61" t="s">
        <v>114</v>
      </c>
      <c r="F22" s="61" t="str">
        <f t="shared" si="1"/>
        <v>Сигары</v>
      </c>
      <c r="G22" s="52">
        <v>7.3</v>
      </c>
      <c r="H22" s="60">
        <v>77</v>
      </c>
      <c r="I22" s="52">
        <f t="shared" si="2"/>
        <v>562.1</v>
      </c>
      <c r="J22" s="60">
        <v>3</v>
      </c>
      <c r="K22" s="61" t="s">
        <v>134</v>
      </c>
    </row>
    <row r="23" spans="1:11">
      <c r="A23" s="59">
        <v>185.80441950262957</v>
      </c>
      <c r="B23" s="60">
        <v>4</v>
      </c>
      <c r="C23" s="61" t="s">
        <v>142</v>
      </c>
      <c r="D23" s="60">
        <v>1</v>
      </c>
      <c r="E23" s="61" t="s">
        <v>109</v>
      </c>
      <c r="F23" s="61" t="str">
        <f t="shared" si="1"/>
        <v>Табак</v>
      </c>
      <c r="G23" s="52">
        <v>0.2</v>
      </c>
      <c r="H23" s="60">
        <v>36</v>
      </c>
      <c r="I23" s="52">
        <f t="shared" si="2"/>
        <v>7.2</v>
      </c>
      <c r="J23" s="60">
        <v>2</v>
      </c>
      <c r="K23" s="61" t="s">
        <v>130</v>
      </c>
    </row>
    <row r="24" spans="1:11">
      <c r="A24" s="59">
        <v>262.33829032501126</v>
      </c>
      <c r="B24" s="60">
        <v>10</v>
      </c>
      <c r="C24" s="61" t="s">
        <v>143</v>
      </c>
      <c r="D24" s="60">
        <v>4</v>
      </c>
      <c r="E24" s="61" t="s">
        <v>117</v>
      </c>
      <c r="F24" s="61" t="str">
        <f t="shared" si="1"/>
        <v>Папиросы</v>
      </c>
      <c r="G24" s="52">
        <v>0.8</v>
      </c>
      <c r="H24" s="60">
        <v>26</v>
      </c>
      <c r="I24" s="52">
        <f t="shared" si="2"/>
        <v>20.8</v>
      </c>
      <c r="J24" s="60">
        <v>6</v>
      </c>
      <c r="K24" s="61" t="s">
        <v>139</v>
      </c>
    </row>
    <row r="25" spans="1:11">
      <c r="A25" s="59">
        <v>1.4836369355552961</v>
      </c>
      <c r="B25" s="60">
        <v>1</v>
      </c>
      <c r="C25" s="61" t="s">
        <v>140</v>
      </c>
      <c r="D25" s="60">
        <v>1</v>
      </c>
      <c r="E25" s="61" t="s">
        <v>109</v>
      </c>
      <c r="F25" s="61" t="str">
        <f t="shared" si="1"/>
        <v>Табак</v>
      </c>
      <c r="G25" s="52">
        <v>0.2</v>
      </c>
      <c r="H25" s="60">
        <v>66</v>
      </c>
      <c r="I25" s="52">
        <f t="shared" si="2"/>
        <v>13.200000000000001</v>
      </c>
      <c r="J25" s="60">
        <v>4</v>
      </c>
      <c r="K25" s="61" t="s">
        <v>141</v>
      </c>
    </row>
    <row r="26" spans="1:11">
      <c r="A26" s="59">
        <v>82.932699088563027</v>
      </c>
      <c r="B26" s="60">
        <v>4</v>
      </c>
      <c r="C26" s="61" t="s">
        <v>142</v>
      </c>
      <c r="D26" s="60">
        <v>1</v>
      </c>
      <c r="E26" s="61" t="s">
        <v>109</v>
      </c>
      <c r="F26" s="61" t="str">
        <f t="shared" si="1"/>
        <v>Табак</v>
      </c>
      <c r="G26" s="52">
        <v>0.2</v>
      </c>
      <c r="H26" s="60">
        <v>89</v>
      </c>
      <c r="I26" s="52">
        <f t="shared" si="2"/>
        <v>17.8</v>
      </c>
      <c r="J26" s="60">
        <v>1</v>
      </c>
      <c r="K26" s="61" t="s">
        <v>137</v>
      </c>
    </row>
    <row r="27" spans="1:11">
      <c r="A27" s="59">
        <v>279.17210377757419</v>
      </c>
      <c r="B27" s="60">
        <v>6</v>
      </c>
      <c r="C27" s="61" t="s">
        <v>136</v>
      </c>
      <c r="D27" s="60">
        <v>2</v>
      </c>
      <c r="E27" s="61" t="s">
        <v>112</v>
      </c>
      <c r="F27" s="61" t="str">
        <f t="shared" si="1"/>
        <v>Табак</v>
      </c>
      <c r="G27" s="52">
        <v>0.5</v>
      </c>
      <c r="H27" s="60">
        <v>29</v>
      </c>
      <c r="I27" s="52">
        <f t="shared" si="2"/>
        <v>14.5</v>
      </c>
      <c r="J27" s="60">
        <v>5</v>
      </c>
      <c r="K27" s="61" t="s">
        <v>132</v>
      </c>
    </row>
    <row r="28" spans="1:11">
      <c r="A28" s="59">
        <v>42.365555555555552</v>
      </c>
      <c r="B28" s="60">
        <v>7</v>
      </c>
      <c r="C28" s="61" t="s">
        <v>129</v>
      </c>
      <c r="D28" s="60">
        <v>4</v>
      </c>
      <c r="E28" s="61" t="s">
        <v>117</v>
      </c>
      <c r="F28" s="61" t="str">
        <f t="shared" si="1"/>
        <v>Папиросы</v>
      </c>
      <c r="G28" s="52">
        <v>0.8</v>
      </c>
      <c r="H28" s="60">
        <v>8</v>
      </c>
      <c r="I28" s="52">
        <f t="shared" si="2"/>
        <v>6.4</v>
      </c>
      <c r="J28" s="60">
        <v>3</v>
      </c>
      <c r="K28" s="61" t="s">
        <v>134</v>
      </c>
    </row>
    <row r="29" spans="1:11">
      <c r="A29" s="59">
        <v>333.24565091893055</v>
      </c>
      <c r="B29" s="60">
        <v>3</v>
      </c>
      <c r="C29" s="61" t="s">
        <v>135</v>
      </c>
      <c r="D29" s="60">
        <v>4</v>
      </c>
      <c r="E29" s="61" t="s">
        <v>117</v>
      </c>
      <c r="F29" s="61" t="str">
        <f t="shared" si="1"/>
        <v>Папиросы</v>
      </c>
      <c r="G29" s="52">
        <v>0.8</v>
      </c>
      <c r="H29" s="60">
        <v>49</v>
      </c>
      <c r="I29" s="52">
        <f t="shared" si="2"/>
        <v>39.200000000000003</v>
      </c>
      <c r="J29" s="60">
        <v>2</v>
      </c>
      <c r="K29" s="61" t="s">
        <v>130</v>
      </c>
    </row>
    <row r="30" spans="1:11">
      <c r="A30" s="59">
        <v>327.67202981726405</v>
      </c>
      <c r="B30" s="60">
        <v>10</v>
      </c>
      <c r="C30" s="61" t="s">
        <v>143</v>
      </c>
      <c r="D30" s="60">
        <v>5</v>
      </c>
      <c r="E30" s="61" t="s">
        <v>119</v>
      </c>
      <c r="F30" s="61" t="str">
        <f t="shared" si="1"/>
        <v>Папиросы</v>
      </c>
      <c r="G30" s="52">
        <v>0.4</v>
      </c>
      <c r="H30" s="60">
        <v>83</v>
      </c>
      <c r="I30" s="52">
        <f t="shared" si="2"/>
        <v>33.200000000000003</v>
      </c>
      <c r="J30" s="60">
        <v>6</v>
      </c>
      <c r="K30" s="61" t="s">
        <v>139</v>
      </c>
    </row>
    <row r="31" spans="1:11">
      <c r="A31" s="59">
        <v>339.13919035053004</v>
      </c>
      <c r="B31" s="60">
        <v>4</v>
      </c>
      <c r="C31" s="61" t="s">
        <v>142</v>
      </c>
      <c r="D31" s="60">
        <v>4</v>
      </c>
      <c r="E31" s="61" t="s">
        <v>117</v>
      </c>
      <c r="F31" s="61" t="str">
        <f t="shared" si="1"/>
        <v>Папиросы</v>
      </c>
      <c r="G31" s="52">
        <v>0.8</v>
      </c>
      <c r="H31" s="60">
        <v>56</v>
      </c>
      <c r="I31" s="52">
        <f t="shared" si="2"/>
        <v>44.800000000000004</v>
      </c>
      <c r="J31" s="60">
        <v>5</v>
      </c>
      <c r="K31" s="61" t="s">
        <v>132</v>
      </c>
    </row>
    <row r="32" spans="1:11">
      <c r="A32" s="59">
        <v>173.12278755588159</v>
      </c>
      <c r="B32" s="60">
        <v>1</v>
      </c>
      <c r="C32" s="61" t="s">
        <v>140</v>
      </c>
      <c r="D32" s="60">
        <v>3</v>
      </c>
      <c r="E32" s="61" t="s">
        <v>114</v>
      </c>
      <c r="F32" s="61" t="str">
        <f t="shared" si="1"/>
        <v>Сигары</v>
      </c>
      <c r="G32" s="52">
        <v>7.3</v>
      </c>
      <c r="H32" s="60">
        <v>26</v>
      </c>
      <c r="I32" s="52">
        <f t="shared" si="2"/>
        <v>189.79999999999998</v>
      </c>
      <c r="J32" s="60">
        <v>1</v>
      </c>
      <c r="K32" s="61" t="s">
        <v>137</v>
      </c>
    </row>
    <row r="33" spans="1:11">
      <c r="A33" s="59">
        <v>181.03094131305716</v>
      </c>
      <c r="B33" s="60">
        <v>4</v>
      </c>
      <c r="C33" s="61" t="s">
        <v>142</v>
      </c>
      <c r="D33" s="60">
        <v>2</v>
      </c>
      <c r="E33" s="61" t="s">
        <v>112</v>
      </c>
      <c r="F33" s="61" t="str">
        <f t="shared" si="1"/>
        <v>Табак</v>
      </c>
      <c r="G33" s="52">
        <v>0.5</v>
      </c>
      <c r="H33" s="60">
        <v>20</v>
      </c>
      <c r="I33" s="52">
        <f t="shared" si="2"/>
        <v>10</v>
      </c>
      <c r="J33" s="60">
        <v>1</v>
      </c>
      <c r="K33" s="61" t="s">
        <v>137</v>
      </c>
    </row>
    <row r="34" spans="1:11">
      <c r="A34" s="59">
        <v>102.00899053431931</v>
      </c>
      <c r="B34" s="60">
        <v>1</v>
      </c>
      <c r="C34" s="61" t="s">
        <v>140</v>
      </c>
      <c r="D34" s="60">
        <v>1</v>
      </c>
      <c r="E34" s="61" t="s">
        <v>109</v>
      </c>
      <c r="F34" s="61" t="str">
        <f t="shared" si="1"/>
        <v>Табак</v>
      </c>
      <c r="G34" s="52">
        <v>0.2</v>
      </c>
      <c r="H34" s="60">
        <v>34</v>
      </c>
      <c r="I34" s="52">
        <f t="shared" si="2"/>
        <v>6.8000000000000007</v>
      </c>
      <c r="J34" s="60">
        <v>2</v>
      </c>
      <c r="K34" s="61" t="s">
        <v>130</v>
      </c>
    </row>
    <row r="35" spans="1:11">
      <c r="A35" s="59">
        <v>17.430392549932549</v>
      </c>
      <c r="B35" s="60">
        <v>8</v>
      </c>
      <c r="C35" s="61" t="s">
        <v>138</v>
      </c>
      <c r="D35" s="60">
        <v>1</v>
      </c>
      <c r="E35" s="61" t="s">
        <v>109</v>
      </c>
      <c r="F35" s="61" t="str">
        <f t="shared" si="1"/>
        <v>Табак</v>
      </c>
      <c r="G35" s="52">
        <v>0.2</v>
      </c>
      <c r="H35" s="60">
        <v>11</v>
      </c>
      <c r="I35" s="52">
        <f t="shared" si="2"/>
        <v>2.2000000000000002</v>
      </c>
      <c r="J35" s="60">
        <v>3</v>
      </c>
      <c r="K35" s="61" t="s">
        <v>134</v>
      </c>
    </row>
    <row r="36" spans="1:11">
      <c r="A36" s="59">
        <v>111.01958788755474</v>
      </c>
      <c r="B36" s="60">
        <v>6</v>
      </c>
      <c r="C36" s="61" t="s">
        <v>136</v>
      </c>
      <c r="D36" s="60">
        <v>5</v>
      </c>
      <c r="E36" s="61" t="s">
        <v>119</v>
      </c>
      <c r="F36" s="61" t="str">
        <f t="shared" si="1"/>
        <v>Папиросы</v>
      </c>
      <c r="G36" s="52">
        <v>0.4</v>
      </c>
      <c r="H36" s="60">
        <v>15</v>
      </c>
      <c r="I36" s="52">
        <f t="shared" si="2"/>
        <v>6</v>
      </c>
      <c r="J36" s="60">
        <v>4</v>
      </c>
      <c r="K36" s="61" t="s">
        <v>141</v>
      </c>
    </row>
    <row r="37" spans="1:11">
      <c r="A37" s="59">
        <v>180.50699867504682</v>
      </c>
      <c r="B37" s="60">
        <v>9</v>
      </c>
      <c r="C37" s="61" t="s">
        <v>144</v>
      </c>
      <c r="D37" s="60">
        <v>2</v>
      </c>
      <c r="E37" s="61" t="s">
        <v>112</v>
      </c>
      <c r="F37" s="61" t="str">
        <f t="shared" si="1"/>
        <v>Табак</v>
      </c>
      <c r="G37" s="52">
        <v>0.5</v>
      </c>
      <c r="H37" s="60">
        <v>33</v>
      </c>
      <c r="I37" s="52">
        <f t="shared" si="2"/>
        <v>16.5</v>
      </c>
      <c r="J37" s="60">
        <v>3</v>
      </c>
      <c r="K37" s="61" t="s">
        <v>134</v>
      </c>
    </row>
    <row r="38" spans="1:11">
      <c r="A38" s="59">
        <v>66.368342634774308</v>
      </c>
      <c r="B38" s="60">
        <v>7</v>
      </c>
      <c r="C38" s="61" t="s">
        <v>129</v>
      </c>
      <c r="D38" s="60">
        <v>4</v>
      </c>
      <c r="E38" s="61" t="s">
        <v>117</v>
      </c>
      <c r="F38" s="61" t="str">
        <f t="shared" si="1"/>
        <v>Папиросы</v>
      </c>
      <c r="G38" s="52">
        <v>0.8</v>
      </c>
      <c r="H38" s="60">
        <v>83</v>
      </c>
      <c r="I38" s="52">
        <f t="shared" si="2"/>
        <v>66.400000000000006</v>
      </c>
      <c r="J38" s="60">
        <v>2</v>
      </c>
      <c r="K38" s="61" t="s">
        <v>130</v>
      </c>
    </row>
    <row r="39" spans="1:11">
      <c r="A39" s="59">
        <v>25.627371118472183</v>
      </c>
      <c r="B39" s="60">
        <v>10</v>
      </c>
      <c r="C39" s="61" t="s">
        <v>143</v>
      </c>
      <c r="D39" s="60">
        <v>1</v>
      </c>
      <c r="E39" s="61" t="s">
        <v>109</v>
      </c>
      <c r="F39" s="61" t="str">
        <f t="shared" si="1"/>
        <v>Табак</v>
      </c>
      <c r="G39" s="52">
        <v>0.2</v>
      </c>
      <c r="H39" s="60">
        <v>1</v>
      </c>
      <c r="I39" s="52">
        <f t="shared" si="2"/>
        <v>0.2</v>
      </c>
      <c r="J39" s="60">
        <v>6</v>
      </c>
      <c r="K39" s="61" t="s">
        <v>139</v>
      </c>
    </row>
    <row r="40" spans="1:11">
      <c r="A40" s="59">
        <v>313.54610951530594</v>
      </c>
      <c r="B40" s="60">
        <v>7</v>
      </c>
      <c r="C40" s="61" t="s">
        <v>129</v>
      </c>
      <c r="D40" s="60">
        <v>4</v>
      </c>
      <c r="E40" s="61" t="s">
        <v>117</v>
      </c>
      <c r="F40" s="61" t="str">
        <f t="shared" si="1"/>
        <v>Папиросы</v>
      </c>
      <c r="G40" s="52">
        <v>0.8</v>
      </c>
      <c r="H40" s="60">
        <v>86</v>
      </c>
      <c r="I40" s="52">
        <f t="shared" si="2"/>
        <v>68.8</v>
      </c>
      <c r="J40" s="60">
        <v>6</v>
      </c>
      <c r="K40" s="61" t="s">
        <v>139</v>
      </c>
    </row>
    <row r="41" spans="1:11">
      <c r="A41" s="59">
        <v>308.47590481999396</v>
      </c>
      <c r="B41" s="60">
        <v>3</v>
      </c>
      <c r="C41" s="61" t="s">
        <v>135</v>
      </c>
      <c r="D41" s="60">
        <v>3</v>
      </c>
      <c r="E41" s="61" t="s">
        <v>114</v>
      </c>
      <c r="F41" s="61" t="str">
        <f t="shared" si="1"/>
        <v>Сигары</v>
      </c>
      <c r="G41" s="52">
        <v>7.3</v>
      </c>
      <c r="H41" s="60">
        <v>65</v>
      </c>
      <c r="I41" s="52">
        <f t="shared" si="2"/>
        <v>474.5</v>
      </c>
      <c r="J41" s="60">
        <v>5</v>
      </c>
      <c r="K41" s="61" t="s">
        <v>132</v>
      </c>
    </row>
    <row r="42" spans="1:11">
      <c r="A42" s="59">
        <v>153.99559216097805</v>
      </c>
      <c r="B42" s="60">
        <v>4</v>
      </c>
      <c r="C42" s="61" t="s">
        <v>142</v>
      </c>
      <c r="D42" s="60">
        <v>5</v>
      </c>
      <c r="E42" s="61" t="s">
        <v>119</v>
      </c>
      <c r="F42" s="61" t="str">
        <f t="shared" si="1"/>
        <v>Папиросы</v>
      </c>
      <c r="G42" s="52">
        <v>0.4</v>
      </c>
      <c r="H42" s="60">
        <v>82</v>
      </c>
      <c r="I42" s="52">
        <f t="shared" si="2"/>
        <v>32.800000000000004</v>
      </c>
      <c r="J42" s="60">
        <v>2</v>
      </c>
      <c r="K42" s="61" t="s">
        <v>130</v>
      </c>
    </row>
    <row r="43" spans="1:11">
      <c r="A43" s="59">
        <v>307.84496796541225</v>
      </c>
      <c r="B43" s="60">
        <v>9</v>
      </c>
      <c r="C43" s="61" t="s">
        <v>144</v>
      </c>
      <c r="D43" s="60">
        <v>2</v>
      </c>
      <c r="E43" s="61" t="s">
        <v>112</v>
      </c>
      <c r="F43" s="61" t="str">
        <f t="shared" si="1"/>
        <v>Табак</v>
      </c>
      <c r="G43" s="52">
        <v>0.5</v>
      </c>
      <c r="H43" s="60">
        <v>6</v>
      </c>
      <c r="I43" s="52">
        <f t="shared" si="2"/>
        <v>3</v>
      </c>
      <c r="J43" s="60">
        <v>4</v>
      </c>
      <c r="K43" s="61" t="s">
        <v>141</v>
      </c>
    </row>
    <row r="44" spans="1:11">
      <c r="A44" s="59">
        <v>162.5647433137201</v>
      </c>
      <c r="B44" s="60">
        <v>4</v>
      </c>
      <c r="C44" s="61" t="s">
        <v>142</v>
      </c>
      <c r="D44" s="60">
        <v>3</v>
      </c>
      <c r="E44" s="61" t="s">
        <v>114</v>
      </c>
      <c r="F44" s="61" t="str">
        <f t="shared" si="1"/>
        <v>Сигары</v>
      </c>
      <c r="G44" s="52">
        <v>7.3</v>
      </c>
      <c r="H44" s="60">
        <v>54</v>
      </c>
      <c r="I44" s="52">
        <f t="shared" si="2"/>
        <v>394.2</v>
      </c>
      <c r="J44" s="60">
        <v>3</v>
      </c>
      <c r="K44" s="61" t="s">
        <v>134</v>
      </c>
    </row>
    <row r="45" spans="1:11">
      <c r="A45" s="59">
        <v>150.47843904510137</v>
      </c>
      <c r="B45" s="60">
        <v>4</v>
      </c>
      <c r="C45" s="61" t="s">
        <v>142</v>
      </c>
      <c r="D45" s="60">
        <v>2</v>
      </c>
      <c r="E45" s="61" t="s">
        <v>112</v>
      </c>
      <c r="F45" s="61" t="str">
        <f t="shared" si="1"/>
        <v>Табак</v>
      </c>
      <c r="G45" s="52">
        <v>0.5</v>
      </c>
      <c r="H45" s="60">
        <v>80</v>
      </c>
      <c r="I45" s="52">
        <f t="shared" si="2"/>
        <v>40</v>
      </c>
      <c r="J45" s="60">
        <v>1</v>
      </c>
      <c r="K45" s="61" t="s">
        <v>137</v>
      </c>
    </row>
    <row r="46" spans="1:11">
      <c r="A46" s="59">
        <v>75.88421694052704</v>
      </c>
      <c r="B46" s="60">
        <v>9</v>
      </c>
      <c r="C46" s="61" t="s">
        <v>144</v>
      </c>
      <c r="D46" s="60">
        <v>2</v>
      </c>
      <c r="E46" s="61" t="s">
        <v>112</v>
      </c>
      <c r="F46" s="61" t="str">
        <f t="shared" si="1"/>
        <v>Табак</v>
      </c>
      <c r="G46" s="52">
        <v>0.5</v>
      </c>
      <c r="H46" s="60">
        <v>70</v>
      </c>
      <c r="I46" s="52">
        <f t="shared" si="2"/>
        <v>35</v>
      </c>
      <c r="J46" s="60">
        <v>5</v>
      </c>
      <c r="K46" s="61" t="s">
        <v>132</v>
      </c>
    </row>
    <row r="47" spans="1:11">
      <c r="A47" s="59">
        <v>41.028927916050634</v>
      </c>
      <c r="B47" s="60">
        <v>4</v>
      </c>
      <c r="C47" s="61" t="s">
        <v>142</v>
      </c>
      <c r="D47" s="60">
        <v>1</v>
      </c>
      <c r="E47" s="61" t="s">
        <v>109</v>
      </c>
      <c r="F47" s="61" t="str">
        <f t="shared" si="1"/>
        <v>Табак</v>
      </c>
      <c r="G47" s="52">
        <v>0.2</v>
      </c>
      <c r="H47" s="60">
        <v>50</v>
      </c>
      <c r="I47" s="52">
        <f t="shared" si="2"/>
        <v>10</v>
      </c>
      <c r="J47" s="60">
        <v>6</v>
      </c>
      <c r="K47" s="61" t="s">
        <v>139</v>
      </c>
    </row>
    <row r="48" spans="1:11">
      <c r="A48" s="59">
        <v>97.235418533269694</v>
      </c>
      <c r="B48" s="60">
        <v>6</v>
      </c>
      <c r="C48" s="61" t="s">
        <v>136</v>
      </c>
      <c r="D48" s="60">
        <v>1</v>
      </c>
      <c r="E48" s="61" t="s">
        <v>109</v>
      </c>
      <c r="F48" s="61" t="str">
        <f t="shared" si="1"/>
        <v>Табак</v>
      </c>
      <c r="G48" s="52">
        <v>0.2</v>
      </c>
      <c r="H48" s="60">
        <v>48</v>
      </c>
      <c r="I48" s="52">
        <f t="shared" si="2"/>
        <v>9.6000000000000014</v>
      </c>
      <c r="J48" s="60">
        <v>4</v>
      </c>
      <c r="K48" s="61" t="s">
        <v>141</v>
      </c>
    </row>
    <row r="49" spans="1:11">
      <c r="A49" s="59">
        <v>221.17977024166157</v>
      </c>
      <c r="B49" s="60">
        <v>7</v>
      </c>
      <c r="C49" s="61" t="s">
        <v>129</v>
      </c>
      <c r="D49" s="60">
        <v>2</v>
      </c>
      <c r="E49" s="61" t="s">
        <v>112</v>
      </c>
      <c r="F49" s="61" t="str">
        <f t="shared" si="1"/>
        <v>Табак</v>
      </c>
      <c r="G49" s="52">
        <v>0.5</v>
      </c>
      <c r="H49" s="60">
        <v>77</v>
      </c>
      <c r="I49" s="52">
        <f t="shared" si="2"/>
        <v>38.5</v>
      </c>
      <c r="J49" s="60">
        <v>6</v>
      </c>
      <c r="K49" s="61" t="s">
        <v>139</v>
      </c>
    </row>
    <row r="50" spans="1:11">
      <c r="A50" s="59">
        <v>203.6578983582931</v>
      </c>
      <c r="B50" s="60">
        <v>3</v>
      </c>
      <c r="C50" s="61" t="s">
        <v>135</v>
      </c>
      <c r="D50" s="60">
        <v>3</v>
      </c>
      <c r="E50" s="61" t="s">
        <v>114</v>
      </c>
      <c r="F50" s="61" t="str">
        <f t="shared" si="1"/>
        <v>Сигары</v>
      </c>
      <c r="G50" s="52">
        <v>7.3</v>
      </c>
      <c r="H50" s="60">
        <v>24</v>
      </c>
      <c r="I50" s="52">
        <f t="shared" si="2"/>
        <v>175.2</v>
      </c>
      <c r="J50" s="60">
        <v>3</v>
      </c>
      <c r="K50" s="61" t="s">
        <v>134</v>
      </c>
    </row>
    <row r="51" spans="1:11">
      <c r="A51" s="59">
        <v>36.354131796489128</v>
      </c>
      <c r="B51" s="60">
        <v>1</v>
      </c>
      <c r="C51" s="61" t="s">
        <v>140</v>
      </c>
      <c r="D51" s="60">
        <v>1</v>
      </c>
      <c r="E51" s="61" t="s">
        <v>109</v>
      </c>
      <c r="F51" s="61" t="str">
        <f t="shared" si="1"/>
        <v>Табак</v>
      </c>
      <c r="G51" s="52">
        <v>0.2</v>
      </c>
      <c r="H51" s="60">
        <v>87</v>
      </c>
      <c r="I51" s="52">
        <f t="shared" si="2"/>
        <v>17.400000000000002</v>
      </c>
      <c r="J51" s="60">
        <v>5</v>
      </c>
      <c r="K51" s="61" t="s">
        <v>132</v>
      </c>
    </row>
    <row r="52" spans="1:11">
      <c r="A52" s="59">
        <v>176.06272831971728</v>
      </c>
      <c r="B52" s="60">
        <v>6</v>
      </c>
      <c r="C52" s="61" t="s">
        <v>136</v>
      </c>
      <c r="D52" s="60">
        <v>1</v>
      </c>
      <c r="E52" s="61" t="s">
        <v>109</v>
      </c>
      <c r="F52" s="61" t="str">
        <f t="shared" si="1"/>
        <v>Табак</v>
      </c>
      <c r="G52" s="52">
        <v>0.2</v>
      </c>
      <c r="H52" s="60">
        <v>17</v>
      </c>
      <c r="I52" s="52">
        <f t="shared" si="2"/>
        <v>3.4000000000000004</v>
      </c>
      <c r="J52" s="60">
        <v>2</v>
      </c>
      <c r="K52" s="61" t="s">
        <v>130</v>
      </c>
    </row>
    <row r="53" spans="1:11">
      <c r="A53" s="59">
        <v>219.18918294340165</v>
      </c>
      <c r="B53" s="60">
        <v>4</v>
      </c>
      <c r="C53" s="61" t="s">
        <v>142</v>
      </c>
      <c r="D53" s="60">
        <v>5</v>
      </c>
      <c r="E53" s="61" t="s">
        <v>119</v>
      </c>
      <c r="F53" s="61" t="str">
        <f t="shared" si="1"/>
        <v>Папиросы</v>
      </c>
      <c r="G53" s="52">
        <v>0.4</v>
      </c>
      <c r="H53" s="60">
        <v>43</v>
      </c>
      <c r="I53" s="52">
        <f t="shared" si="2"/>
        <v>17.2</v>
      </c>
      <c r="J53" s="60">
        <v>3</v>
      </c>
      <c r="K53" s="61" t="s">
        <v>134</v>
      </c>
    </row>
    <row r="54" spans="1:11">
      <c r="A54" s="59">
        <v>364.100042147571</v>
      </c>
      <c r="B54" s="60">
        <v>4</v>
      </c>
      <c r="C54" s="61" t="s">
        <v>142</v>
      </c>
      <c r="D54" s="60">
        <v>3</v>
      </c>
      <c r="E54" s="61" t="s">
        <v>114</v>
      </c>
      <c r="F54" s="61" t="str">
        <f t="shared" si="1"/>
        <v>Сигары</v>
      </c>
      <c r="G54" s="52">
        <v>7.3</v>
      </c>
      <c r="H54" s="60">
        <v>55</v>
      </c>
      <c r="I54" s="52">
        <f t="shared" si="2"/>
        <v>401.5</v>
      </c>
      <c r="J54" s="60">
        <v>4</v>
      </c>
      <c r="K54" s="61" t="s">
        <v>141</v>
      </c>
    </row>
    <row r="55" spans="1:11">
      <c r="A55" s="59">
        <v>33.648286295143407</v>
      </c>
      <c r="B55" s="60">
        <v>10</v>
      </c>
      <c r="C55" s="61" t="s">
        <v>143</v>
      </c>
      <c r="D55" s="60">
        <v>4</v>
      </c>
      <c r="E55" s="61" t="s">
        <v>117</v>
      </c>
      <c r="F55" s="61" t="str">
        <f t="shared" si="1"/>
        <v>Папиросы</v>
      </c>
      <c r="G55" s="52">
        <v>0.8</v>
      </c>
      <c r="H55" s="60">
        <v>79</v>
      </c>
      <c r="I55" s="52">
        <f t="shared" si="2"/>
        <v>63.2</v>
      </c>
      <c r="J55" s="60">
        <v>5</v>
      </c>
      <c r="K55" s="61" t="s">
        <v>132</v>
      </c>
    </row>
    <row r="56" spans="1:11">
      <c r="A56" s="59">
        <v>246.95405960339576</v>
      </c>
      <c r="B56" s="60">
        <v>1</v>
      </c>
      <c r="C56" s="61" t="s">
        <v>140</v>
      </c>
      <c r="D56" s="60">
        <v>5</v>
      </c>
      <c r="E56" s="61" t="s">
        <v>119</v>
      </c>
      <c r="F56" s="61" t="str">
        <f t="shared" si="1"/>
        <v>Папиросы</v>
      </c>
      <c r="G56" s="52">
        <v>0.4</v>
      </c>
      <c r="H56" s="60">
        <v>18</v>
      </c>
      <c r="I56" s="52">
        <f t="shared" si="2"/>
        <v>7.2</v>
      </c>
      <c r="J56" s="60">
        <v>2</v>
      </c>
      <c r="K56" s="61" t="s">
        <v>130</v>
      </c>
    </row>
    <row r="57" spans="1:11">
      <c r="A57" s="59">
        <v>22.953719949779043</v>
      </c>
      <c r="B57" s="60">
        <v>3</v>
      </c>
      <c r="C57" s="61" t="s">
        <v>135</v>
      </c>
      <c r="D57" s="60">
        <v>1</v>
      </c>
      <c r="E57" s="61" t="s">
        <v>109</v>
      </c>
      <c r="F57" s="61" t="str">
        <f t="shared" si="1"/>
        <v>Табак</v>
      </c>
      <c r="G57" s="52">
        <v>0.2</v>
      </c>
      <c r="H57" s="60">
        <v>61</v>
      </c>
      <c r="I57" s="52">
        <f t="shared" si="2"/>
        <v>12.200000000000001</v>
      </c>
      <c r="J57" s="60">
        <v>1</v>
      </c>
      <c r="K57" s="61" t="s">
        <v>137</v>
      </c>
    </row>
    <row r="58" spans="1:11">
      <c r="A58" s="59">
        <v>335.61798177997025</v>
      </c>
      <c r="B58" s="60">
        <v>2</v>
      </c>
      <c r="C58" s="61" t="s">
        <v>131</v>
      </c>
      <c r="D58" s="60">
        <v>3</v>
      </c>
      <c r="E58" s="61" t="s">
        <v>114</v>
      </c>
      <c r="F58" s="61" t="str">
        <f t="shared" si="1"/>
        <v>Сигары</v>
      </c>
      <c r="G58" s="52">
        <v>7.3</v>
      </c>
      <c r="H58" s="60">
        <v>49</v>
      </c>
      <c r="I58" s="52">
        <f t="shared" si="2"/>
        <v>357.7</v>
      </c>
      <c r="J58" s="60">
        <v>6</v>
      </c>
      <c r="K58" s="61" t="s">
        <v>139</v>
      </c>
    </row>
    <row r="59" spans="1:11">
      <c r="A59" s="59">
        <v>266.33341608848787</v>
      </c>
      <c r="B59" s="60">
        <v>9</v>
      </c>
      <c r="C59" s="61" t="s">
        <v>144</v>
      </c>
      <c r="D59" s="60">
        <v>3</v>
      </c>
      <c r="E59" s="61" t="s">
        <v>114</v>
      </c>
      <c r="F59" s="61" t="str">
        <f t="shared" si="1"/>
        <v>Сигары</v>
      </c>
      <c r="G59" s="52">
        <v>7.3</v>
      </c>
      <c r="H59" s="60">
        <v>39</v>
      </c>
      <c r="I59" s="52">
        <f t="shared" si="2"/>
        <v>284.7</v>
      </c>
      <c r="J59" s="60">
        <v>3</v>
      </c>
      <c r="K59" s="61" t="s">
        <v>134</v>
      </c>
    </row>
    <row r="60" spans="1:11">
      <c r="A60" s="59">
        <v>182.61376003932219</v>
      </c>
      <c r="B60" s="60">
        <v>5</v>
      </c>
      <c r="C60" s="61" t="s">
        <v>133</v>
      </c>
      <c r="D60" s="60">
        <v>3</v>
      </c>
      <c r="E60" s="61" t="s">
        <v>114</v>
      </c>
      <c r="F60" s="61" t="str">
        <f t="shared" si="1"/>
        <v>Сигары</v>
      </c>
      <c r="G60" s="52">
        <v>7.3</v>
      </c>
      <c r="H60" s="60">
        <v>22</v>
      </c>
      <c r="I60" s="52">
        <f t="shared" si="2"/>
        <v>160.6</v>
      </c>
      <c r="J60" s="60">
        <v>4</v>
      </c>
      <c r="K60" s="61" t="s">
        <v>141</v>
      </c>
    </row>
    <row r="61" spans="1:11">
      <c r="A61" s="59">
        <v>316.87170118319591</v>
      </c>
      <c r="B61" s="60">
        <v>10</v>
      </c>
      <c r="C61" s="61" t="s">
        <v>143</v>
      </c>
      <c r="D61" s="60">
        <v>2</v>
      </c>
      <c r="E61" s="61" t="s">
        <v>112</v>
      </c>
      <c r="F61" s="61" t="str">
        <f t="shared" si="1"/>
        <v>Табак</v>
      </c>
      <c r="G61" s="52">
        <v>0.5</v>
      </c>
      <c r="H61" s="60">
        <v>44</v>
      </c>
      <c r="I61" s="52">
        <f t="shared" si="2"/>
        <v>22</v>
      </c>
      <c r="J61" s="60">
        <v>2</v>
      </c>
      <c r="K61" s="61" t="s">
        <v>130</v>
      </c>
    </row>
    <row r="62" spans="1:11">
      <c r="A62" s="59">
        <v>119.11167516735622</v>
      </c>
      <c r="B62" s="60">
        <v>4</v>
      </c>
      <c r="C62" s="61" t="s">
        <v>142</v>
      </c>
      <c r="D62" s="60">
        <v>2</v>
      </c>
      <c r="E62" s="61" t="s">
        <v>112</v>
      </c>
      <c r="F62" s="61" t="str">
        <f t="shared" si="1"/>
        <v>Табак</v>
      </c>
      <c r="G62" s="52">
        <v>0.5</v>
      </c>
      <c r="H62" s="60">
        <v>82</v>
      </c>
      <c r="I62" s="52">
        <f t="shared" si="2"/>
        <v>41</v>
      </c>
      <c r="J62" s="60">
        <v>5</v>
      </c>
      <c r="K62" s="61" t="s">
        <v>132</v>
      </c>
    </row>
    <row r="63" spans="1:11">
      <c r="A63" s="59">
        <v>82.896173605477998</v>
      </c>
      <c r="B63" s="60">
        <v>1</v>
      </c>
      <c r="C63" s="61" t="s">
        <v>140</v>
      </c>
      <c r="D63" s="60">
        <v>2</v>
      </c>
      <c r="E63" s="61" t="s">
        <v>112</v>
      </c>
      <c r="F63" s="61" t="str">
        <f t="shared" si="1"/>
        <v>Табак</v>
      </c>
      <c r="G63" s="52">
        <v>0.5</v>
      </c>
      <c r="H63" s="60">
        <v>53</v>
      </c>
      <c r="I63" s="52">
        <f t="shared" si="2"/>
        <v>26.5</v>
      </c>
      <c r="J63" s="60">
        <v>3</v>
      </c>
      <c r="K63" s="61" t="s">
        <v>134</v>
      </c>
    </row>
    <row r="64" spans="1:11">
      <c r="A64" s="59">
        <v>285.45533439940846</v>
      </c>
      <c r="B64" s="60">
        <v>5</v>
      </c>
      <c r="C64" s="61" t="s">
        <v>133</v>
      </c>
      <c r="D64" s="60">
        <v>3</v>
      </c>
      <c r="E64" s="61" t="s">
        <v>114</v>
      </c>
      <c r="F64" s="61" t="str">
        <f t="shared" si="1"/>
        <v>Сигары</v>
      </c>
      <c r="G64" s="52">
        <v>7.3</v>
      </c>
      <c r="H64" s="60">
        <v>77</v>
      </c>
      <c r="I64" s="52">
        <f t="shared" si="2"/>
        <v>562.1</v>
      </c>
      <c r="J64" s="60">
        <v>4</v>
      </c>
      <c r="K64" s="61" t="s">
        <v>141</v>
      </c>
    </row>
    <row r="65" spans="1:11">
      <c r="A65" s="59">
        <v>3.9734915904509762</v>
      </c>
      <c r="B65" s="60">
        <v>10</v>
      </c>
      <c r="C65" s="61" t="s">
        <v>143</v>
      </c>
      <c r="D65" s="60">
        <v>4</v>
      </c>
      <c r="E65" s="61" t="s">
        <v>117</v>
      </c>
      <c r="F65" s="61" t="str">
        <f t="shared" si="1"/>
        <v>Папиросы</v>
      </c>
      <c r="G65" s="52">
        <v>0.8</v>
      </c>
      <c r="H65" s="60">
        <v>42</v>
      </c>
      <c r="I65" s="52">
        <f t="shared" si="2"/>
        <v>33.6</v>
      </c>
      <c r="J65" s="60">
        <v>3</v>
      </c>
      <c r="K65" s="61" t="s">
        <v>134</v>
      </c>
    </row>
    <row r="66" spans="1:11">
      <c r="A66" s="59">
        <v>80.795264819036404</v>
      </c>
      <c r="B66" s="60">
        <v>3</v>
      </c>
      <c r="C66" s="61" t="s">
        <v>135</v>
      </c>
      <c r="D66" s="60">
        <v>1</v>
      </c>
      <c r="E66" s="61" t="s">
        <v>109</v>
      </c>
      <c r="F66" s="61" t="str">
        <f t="shared" si="1"/>
        <v>Табак</v>
      </c>
      <c r="G66" s="52">
        <v>0.2</v>
      </c>
      <c r="H66" s="60">
        <v>60</v>
      </c>
      <c r="I66" s="52">
        <f t="shared" si="2"/>
        <v>12</v>
      </c>
      <c r="J66" s="60">
        <v>4</v>
      </c>
      <c r="K66" s="61" t="s">
        <v>141</v>
      </c>
    </row>
    <row r="67" spans="1:11">
      <c r="A67" s="59">
        <v>92.430142756537407</v>
      </c>
      <c r="B67" s="60">
        <v>4</v>
      </c>
      <c r="C67" s="61" t="s">
        <v>142</v>
      </c>
      <c r="D67" s="60">
        <v>3</v>
      </c>
      <c r="E67" s="61" t="s">
        <v>114</v>
      </c>
      <c r="F67" s="61" t="str">
        <f t="shared" si="1"/>
        <v>Сигары</v>
      </c>
      <c r="G67" s="52">
        <v>7.3</v>
      </c>
      <c r="H67" s="60">
        <v>45</v>
      </c>
      <c r="I67" s="52">
        <f t="shared" si="2"/>
        <v>328.5</v>
      </c>
      <c r="J67" s="60">
        <v>3</v>
      </c>
      <c r="K67" s="61" t="s">
        <v>134</v>
      </c>
    </row>
    <row r="68" spans="1:11">
      <c r="A68" s="59">
        <v>113.5663669538676</v>
      </c>
      <c r="B68" s="60">
        <v>9</v>
      </c>
      <c r="C68" s="61" t="s">
        <v>144</v>
      </c>
      <c r="D68" s="60">
        <v>3</v>
      </c>
      <c r="E68" s="61" t="s">
        <v>114</v>
      </c>
      <c r="F68" s="61" t="str">
        <f t="shared" si="1"/>
        <v>Сигары</v>
      </c>
      <c r="G68" s="52">
        <v>7.3</v>
      </c>
      <c r="H68" s="60">
        <v>77</v>
      </c>
      <c r="I68" s="52">
        <f t="shared" si="2"/>
        <v>562.1</v>
      </c>
      <c r="J68" s="60">
        <v>4</v>
      </c>
      <c r="K68" s="61" t="s">
        <v>141</v>
      </c>
    </row>
    <row r="69" spans="1:11">
      <c r="A69" s="59">
        <v>7.4242089336971731</v>
      </c>
      <c r="B69" s="60">
        <v>4</v>
      </c>
      <c r="C69" s="61" t="s">
        <v>142</v>
      </c>
      <c r="D69" s="60">
        <v>2</v>
      </c>
      <c r="E69" s="61" t="s">
        <v>112</v>
      </c>
      <c r="F69" s="61" t="str">
        <f t="shared" si="1"/>
        <v>Табак</v>
      </c>
      <c r="G69" s="52">
        <v>0.5</v>
      </c>
      <c r="H69" s="60">
        <v>9</v>
      </c>
      <c r="I69" s="52">
        <f t="shared" si="2"/>
        <v>4.5</v>
      </c>
      <c r="J69" s="60">
        <v>5</v>
      </c>
      <c r="K69" s="61" t="s">
        <v>132</v>
      </c>
    </row>
    <row r="70" spans="1:11">
      <c r="A70" s="59">
        <v>25.29029283994069</v>
      </c>
      <c r="B70" s="60">
        <v>7</v>
      </c>
      <c r="C70" s="61" t="s">
        <v>129</v>
      </c>
      <c r="D70" s="60">
        <v>4</v>
      </c>
      <c r="E70" s="61" t="s">
        <v>117</v>
      </c>
      <c r="F70" s="61" t="str">
        <f t="shared" si="1"/>
        <v>Папиросы</v>
      </c>
      <c r="G70" s="52">
        <v>0.8</v>
      </c>
      <c r="H70" s="60">
        <v>85</v>
      </c>
      <c r="I70" s="52">
        <f t="shared" si="2"/>
        <v>68</v>
      </c>
      <c r="J70" s="60">
        <v>6</v>
      </c>
      <c r="K70" s="61" t="s">
        <v>139</v>
      </c>
    </row>
    <row r="71" spans="1:11">
      <c r="A71" s="59">
        <v>288.10033605750311</v>
      </c>
      <c r="B71" s="60">
        <v>1</v>
      </c>
      <c r="C71" s="61" t="s">
        <v>140</v>
      </c>
      <c r="D71" s="60">
        <v>1</v>
      </c>
      <c r="E71" s="61" t="s">
        <v>109</v>
      </c>
      <c r="F71" s="61" t="str">
        <f t="shared" si="1"/>
        <v>Табак</v>
      </c>
      <c r="G71" s="52">
        <v>0.2</v>
      </c>
      <c r="H71" s="60">
        <v>40</v>
      </c>
      <c r="I71" s="52">
        <f t="shared" si="2"/>
        <v>8</v>
      </c>
      <c r="J71" s="60">
        <v>1</v>
      </c>
      <c r="K71" s="61" t="s">
        <v>137</v>
      </c>
    </row>
    <row r="72" spans="1:11">
      <c r="A72" s="59">
        <v>65.534775738115968</v>
      </c>
      <c r="B72" s="60">
        <v>3</v>
      </c>
      <c r="C72" s="61" t="s">
        <v>135</v>
      </c>
      <c r="D72" s="60">
        <v>5</v>
      </c>
      <c r="E72" s="61" t="s">
        <v>119</v>
      </c>
      <c r="F72" s="61" t="str">
        <f t="shared" si="1"/>
        <v>Папиросы</v>
      </c>
      <c r="G72" s="52">
        <v>0.4</v>
      </c>
      <c r="H72" s="60">
        <v>56</v>
      </c>
      <c r="I72" s="52">
        <f t="shared" si="2"/>
        <v>22.400000000000002</v>
      </c>
      <c r="J72" s="60">
        <v>1</v>
      </c>
      <c r="K72" s="61" t="s">
        <v>137</v>
      </c>
    </row>
    <row r="73" spans="1:11">
      <c r="A73" s="59">
        <v>234.16687903691673</v>
      </c>
      <c r="B73" s="60">
        <v>5</v>
      </c>
      <c r="C73" s="61" t="s">
        <v>133</v>
      </c>
      <c r="D73" s="60">
        <v>4</v>
      </c>
      <c r="E73" s="61" t="s">
        <v>117</v>
      </c>
      <c r="F73" s="61" t="str">
        <f t="shared" si="1"/>
        <v>Папиросы</v>
      </c>
      <c r="G73" s="52">
        <v>0.8</v>
      </c>
      <c r="H73" s="60">
        <v>69</v>
      </c>
      <c r="I73" s="52">
        <f t="shared" si="2"/>
        <v>55.2</v>
      </c>
      <c r="J73" s="60">
        <v>2</v>
      </c>
      <c r="K73" s="61" t="s">
        <v>130</v>
      </c>
    </row>
    <row r="74" spans="1:11">
      <c r="A74" s="59">
        <v>365.05337655915446</v>
      </c>
      <c r="B74" s="60">
        <v>10</v>
      </c>
      <c r="C74" s="61" t="s">
        <v>143</v>
      </c>
      <c r="D74" s="60">
        <v>4</v>
      </c>
      <c r="E74" s="61" t="s">
        <v>117</v>
      </c>
      <c r="F74" s="61" t="str">
        <f t="shared" si="1"/>
        <v>Папиросы</v>
      </c>
      <c r="G74" s="52">
        <v>0.8</v>
      </c>
      <c r="H74" s="60">
        <v>94</v>
      </c>
      <c r="I74" s="52">
        <f t="shared" si="2"/>
        <v>75.2</v>
      </c>
      <c r="J74" s="60">
        <v>3</v>
      </c>
      <c r="K74" s="61" t="s">
        <v>134</v>
      </c>
    </row>
    <row r="75" spans="1:11">
      <c r="A75" s="59">
        <v>271.34554245592517</v>
      </c>
      <c r="B75" s="60">
        <v>10</v>
      </c>
      <c r="C75" s="61" t="s">
        <v>143</v>
      </c>
      <c r="D75" s="60">
        <v>5</v>
      </c>
      <c r="E75" s="61" t="s">
        <v>119</v>
      </c>
      <c r="F75" s="61" t="str">
        <f t="shared" si="1"/>
        <v>Папиросы</v>
      </c>
      <c r="G75" s="52">
        <v>0.4</v>
      </c>
      <c r="H75" s="60">
        <v>56</v>
      </c>
      <c r="I75" s="52">
        <f t="shared" si="2"/>
        <v>22.400000000000002</v>
      </c>
      <c r="J75" s="60">
        <v>4</v>
      </c>
      <c r="K75" s="61" t="s">
        <v>141</v>
      </c>
    </row>
    <row r="76" spans="1:11">
      <c r="A76" s="59">
        <v>131.70681464108475</v>
      </c>
      <c r="B76" s="60">
        <v>8</v>
      </c>
      <c r="C76" s="61" t="s">
        <v>138</v>
      </c>
      <c r="D76" s="60">
        <v>1</v>
      </c>
      <c r="E76" s="61" t="s">
        <v>109</v>
      </c>
      <c r="F76" s="61" t="str">
        <f t="shared" si="1"/>
        <v>Табак</v>
      </c>
      <c r="G76" s="52">
        <v>0.2</v>
      </c>
      <c r="H76" s="60">
        <v>29</v>
      </c>
      <c r="I76" s="52">
        <f t="shared" si="2"/>
        <v>5.8000000000000007</v>
      </c>
      <c r="J76" s="60">
        <v>5</v>
      </c>
      <c r="K76" s="61" t="s">
        <v>132</v>
      </c>
    </row>
    <row r="77" spans="1:11">
      <c r="A77" s="59">
        <v>44.760945093299597</v>
      </c>
      <c r="B77" s="60">
        <v>2</v>
      </c>
      <c r="C77" s="61" t="s">
        <v>131</v>
      </c>
      <c r="D77" s="60">
        <v>4</v>
      </c>
      <c r="E77" s="61" t="s">
        <v>117</v>
      </c>
      <c r="F77" s="61" t="str">
        <f t="shared" si="1"/>
        <v>Папиросы</v>
      </c>
      <c r="G77" s="52">
        <v>0.8</v>
      </c>
      <c r="H77" s="60">
        <v>63</v>
      </c>
      <c r="I77" s="52">
        <f t="shared" si="2"/>
        <v>50.400000000000006</v>
      </c>
      <c r="J77" s="60">
        <v>4</v>
      </c>
      <c r="K77" s="61" t="s">
        <v>141</v>
      </c>
    </row>
    <row r="78" spans="1:11">
      <c r="A78" s="59">
        <v>249.37611629533512</v>
      </c>
      <c r="B78" s="60">
        <v>8</v>
      </c>
      <c r="C78" s="61" t="s">
        <v>138</v>
      </c>
      <c r="D78" s="60">
        <v>3</v>
      </c>
      <c r="E78" s="61" t="s">
        <v>114</v>
      </c>
      <c r="F78" s="61" t="str">
        <f t="shared" si="1"/>
        <v>Сигары</v>
      </c>
      <c r="G78" s="52">
        <v>7.3</v>
      </c>
      <c r="H78" s="60">
        <v>24</v>
      </c>
      <c r="I78" s="52">
        <f t="shared" si="2"/>
        <v>175.2</v>
      </c>
      <c r="J78" s="60">
        <v>3</v>
      </c>
      <c r="K78" s="61" t="s">
        <v>134</v>
      </c>
    </row>
    <row r="79" spans="1:11">
      <c r="A79" s="59">
        <v>84.972491486238141</v>
      </c>
      <c r="B79" s="60">
        <v>2</v>
      </c>
      <c r="C79" s="61" t="s">
        <v>131</v>
      </c>
      <c r="D79" s="60">
        <v>1</v>
      </c>
      <c r="E79" s="61" t="s">
        <v>109</v>
      </c>
      <c r="F79" s="61" t="str">
        <f t="shared" si="1"/>
        <v>Табак</v>
      </c>
      <c r="G79" s="52">
        <v>0.2</v>
      </c>
      <c r="H79" s="60">
        <v>25</v>
      </c>
      <c r="I79" s="52">
        <f t="shared" si="2"/>
        <v>5</v>
      </c>
      <c r="J79" s="60">
        <v>2</v>
      </c>
      <c r="K79" s="61" t="s">
        <v>130</v>
      </c>
    </row>
    <row r="80" spans="1:11">
      <c r="A80" s="59">
        <v>236.97324134477731</v>
      </c>
      <c r="B80" s="60">
        <v>5</v>
      </c>
      <c r="C80" s="61" t="s">
        <v>133</v>
      </c>
      <c r="D80" s="60">
        <v>1</v>
      </c>
      <c r="E80" s="61" t="s">
        <v>109</v>
      </c>
      <c r="F80" s="61" t="str">
        <f t="shared" ref="F80:F115" si="3">VLOOKUP(E80, $B$4:$D$9, 3,FALSE)</f>
        <v>Табак</v>
      </c>
      <c r="G80" s="52">
        <v>0.2</v>
      </c>
      <c r="H80" s="60">
        <v>64</v>
      </c>
      <c r="I80" s="52">
        <f t="shared" ref="I80:I115" si="4">G80*H80</f>
        <v>12.8</v>
      </c>
      <c r="J80" s="60">
        <v>4</v>
      </c>
      <c r="K80" s="61" t="s">
        <v>141</v>
      </c>
    </row>
    <row r="81" spans="1:11">
      <c r="A81" s="59">
        <v>186.33760205792532</v>
      </c>
      <c r="B81" s="60">
        <v>5</v>
      </c>
      <c r="C81" s="61" t="s">
        <v>133</v>
      </c>
      <c r="D81" s="60">
        <v>4</v>
      </c>
      <c r="E81" s="61" t="s">
        <v>117</v>
      </c>
      <c r="F81" s="61" t="str">
        <f t="shared" si="3"/>
        <v>Папиросы</v>
      </c>
      <c r="G81" s="52">
        <v>0.8</v>
      </c>
      <c r="H81" s="60">
        <v>53</v>
      </c>
      <c r="I81" s="52">
        <f t="shared" si="4"/>
        <v>42.400000000000006</v>
      </c>
      <c r="J81" s="60">
        <v>6</v>
      </c>
      <c r="K81" s="61" t="s">
        <v>139</v>
      </c>
    </row>
    <row r="82" spans="1:11">
      <c r="A82" s="59">
        <v>23.724165884596914</v>
      </c>
      <c r="B82" s="60">
        <v>2</v>
      </c>
      <c r="C82" s="61" t="s">
        <v>131</v>
      </c>
      <c r="D82" s="60">
        <v>1</v>
      </c>
      <c r="E82" s="61" t="s">
        <v>109</v>
      </c>
      <c r="F82" s="61" t="str">
        <f t="shared" si="3"/>
        <v>Табак</v>
      </c>
      <c r="G82" s="52">
        <v>0.2</v>
      </c>
      <c r="H82" s="60">
        <v>18</v>
      </c>
      <c r="I82" s="52">
        <f t="shared" si="4"/>
        <v>3.6</v>
      </c>
      <c r="J82" s="60">
        <v>5</v>
      </c>
      <c r="K82" s="61" t="s">
        <v>132</v>
      </c>
    </row>
    <row r="83" spans="1:11">
      <c r="A83" s="59">
        <v>237.16750762628726</v>
      </c>
      <c r="B83" s="60">
        <v>4</v>
      </c>
      <c r="C83" s="61" t="s">
        <v>142</v>
      </c>
      <c r="D83" s="60">
        <v>4</v>
      </c>
      <c r="E83" s="61" t="s">
        <v>117</v>
      </c>
      <c r="F83" s="61" t="str">
        <f t="shared" si="3"/>
        <v>Папиросы</v>
      </c>
      <c r="G83" s="52">
        <v>0.8</v>
      </c>
      <c r="H83" s="60">
        <v>61</v>
      </c>
      <c r="I83" s="52">
        <f t="shared" si="4"/>
        <v>48.800000000000004</v>
      </c>
      <c r="J83" s="60">
        <v>5</v>
      </c>
      <c r="K83" s="61" t="s">
        <v>132</v>
      </c>
    </row>
    <row r="84" spans="1:11">
      <c r="A84" s="59">
        <v>269.22675276718201</v>
      </c>
      <c r="B84" s="60">
        <v>5</v>
      </c>
      <c r="C84" s="61" t="s">
        <v>133</v>
      </c>
      <c r="D84" s="60">
        <v>3</v>
      </c>
      <c r="E84" s="61" t="s">
        <v>114</v>
      </c>
      <c r="F84" s="61" t="str">
        <f t="shared" si="3"/>
        <v>Сигары</v>
      </c>
      <c r="G84" s="52">
        <v>7.3</v>
      </c>
      <c r="H84" s="60">
        <v>13</v>
      </c>
      <c r="I84" s="52">
        <f t="shared" si="4"/>
        <v>94.899999999999991</v>
      </c>
      <c r="J84" s="60">
        <v>4</v>
      </c>
      <c r="K84" s="61" t="s">
        <v>141</v>
      </c>
    </row>
    <row r="85" spans="1:11">
      <c r="A85" s="59">
        <v>128.07328149447676</v>
      </c>
      <c r="B85" s="60">
        <v>1</v>
      </c>
      <c r="C85" s="61" t="s">
        <v>140</v>
      </c>
      <c r="D85" s="60">
        <v>5</v>
      </c>
      <c r="E85" s="61" t="s">
        <v>119</v>
      </c>
      <c r="F85" s="61" t="str">
        <f t="shared" si="3"/>
        <v>Папиросы</v>
      </c>
      <c r="G85" s="52">
        <v>0.4</v>
      </c>
      <c r="H85" s="60">
        <v>13</v>
      </c>
      <c r="I85" s="52">
        <f t="shared" si="4"/>
        <v>5.2</v>
      </c>
      <c r="J85" s="60">
        <v>3</v>
      </c>
      <c r="K85" s="61" t="s">
        <v>134</v>
      </c>
    </row>
    <row r="86" spans="1:11">
      <c r="A86" s="59">
        <v>129.83191225625069</v>
      </c>
      <c r="B86" s="60">
        <v>4</v>
      </c>
      <c r="C86" s="61" t="s">
        <v>142</v>
      </c>
      <c r="D86" s="60">
        <v>3</v>
      </c>
      <c r="E86" s="61" t="s">
        <v>114</v>
      </c>
      <c r="F86" s="61" t="str">
        <f t="shared" si="3"/>
        <v>Сигары</v>
      </c>
      <c r="G86" s="52">
        <v>7.3</v>
      </c>
      <c r="H86" s="60">
        <v>36</v>
      </c>
      <c r="I86" s="52">
        <f t="shared" si="4"/>
        <v>262.8</v>
      </c>
      <c r="J86" s="60">
        <v>2</v>
      </c>
      <c r="K86" s="61" t="s">
        <v>130</v>
      </c>
    </row>
    <row r="87" spans="1:11">
      <c r="A87" s="59">
        <v>246.3446236380114</v>
      </c>
      <c r="B87" s="60">
        <v>9</v>
      </c>
      <c r="C87" s="61" t="s">
        <v>144</v>
      </c>
      <c r="D87" s="60">
        <v>5</v>
      </c>
      <c r="E87" s="61" t="s">
        <v>119</v>
      </c>
      <c r="F87" s="61" t="str">
        <f t="shared" si="3"/>
        <v>Папиросы</v>
      </c>
      <c r="G87" s="52">
        <v>0.4</v>
      </c>
      <c r="H87" s="60">
        <v>58</v>
      </c>
      <c r="I87" s="52">
        <f t="shared" si="4"/>
        <v>23.200000000000003</v>
      </c>
      <c r="J87" s="60">
        <v>3</v>
      </c>
      <c r="K87" s="61" t="s">
        <v>134</v>
      </c>
    </row>
    <row r="88" spans="1:11">
      <c r="A88" s="59">
        <v>242.68310390994066</v>
      </c>
      <c r="B88" s="60">
        <v>4</v>
      </c>
      <c r="C88" s="61" t="s">
        <v>142</v>
      </c>
      <c r="D88" s="60">
        <v>1</v>
      </c>
      <c r="E88" s="61" t="s">
        <v>109</v>
      </c>
      <c r="F88" s="61" t="str">
        <f t="shared" si="3"/>
        <v>Табак</v>
      </c>
      <c r="G88" s="52">
        <v>0.2</v>
      </c>
      <c r="H88" s="60">
        <v>73</v>
      </c>
      <c r="I88" s="52">
        <f t="shared" si="4"/>
        <v>14.600000000000001</v>
      </c>
      <c r="J88" s="60">
        <v>4</v>
      </c>
      <c r="K88" s="61" t="s">
        <v>141</v>
      </c>
    </row>
    <row r="89" spans="1:11">
      <c r="A89" s="59">
        <v>52.897854527169329</v>
      </c>
      <c r="B89" s="60">
        <v>8</v>
      </c>
      <c r="C89" s="61" t="s">
        <v>138</v>
      </c>
      <c r="D89" s="60">
        <v>5</v>
      </c>
      <c r="E89" s="61" t="s">
        <v>119</v>
      </c>
      <c r="F89" s="61" t="str">
        <f t="shared" si="3"/>
        <v>Папиросы</v>
      </c>
      <c r="G89" s="52">
        <v>0.4</v>
      </c>
      <c r="H89" s="60">
        <v>46</v>
      </c>
      <c r="I89" s="52">
        <f t="shared" si="4"/>
        <v>18.400000000000002</v>
      </c>
      <c r="J89" s="60">
        <v>5</v>
      </c>
      <c r="K89" s="61" t="s">
        <v>132</v>
      </c>
    </row>
    <row r="90" spans="1:11">
      <c r="A90" s="59">
        <v>226.96366632997615</v>
      </c>
      <c r="B90" s="60">
        <v>4</v>
      </c>
      <c r="C90" s="61" t="s">
        <v>142</v>
      </c>
      <c r="D90" s="60">
        <v>2</v>
      </c>
      <c r="E90" s="61" t="s">
        <v>112</v>
      </c>
      <c r="F90" s="61" t="str">
        <f t="shared" si="3"/>
        <v>Табак</v>
      </c>
      <c r="G90" s="52">
        <v>0.5</v>
      </c>
      <c r="H90" s="60">
        <v>45</v>
      </c>
      <c r="I90" s="52">
        <f t="shared" si="4"/>
        <v>22.5</v>
      </c>
      <c r="J90" s="60">
        <v>3</v>
      </c>
      <c r="K90" s="61" t="s">
        <v>134</v>
      </c>
    </row>
    <row r="91" spans="1:11">
      <c r="A91" s="59">
        <v>67.3013816957573</v>
      </c>
      <c r="B91" s="60">
        <v>1</v>
      </c>
      <c r="C91" s="61" t="s">
        <v>140</v>
      </c>
      <c r="D91" s="60">
        <v>1</v>
      </c>
      <c r="E91" s="61" t="s">
        <v>109</v>
      </c>
      <c r="F91" s="61" t="str">
        <f t="shared" si="3"/>
        <v>Табак</v>
      </c>
      <c r="G91" s="52">
        <v>0.2</v>
      </c>
      <c r="H91" s="60">
        <v>53</v>
      </c>
      <c r="I91" s="52">
        <f t="shared" si="4"/>
        <v>10.600000000000001</v>
      </c>
      <c r="J91" s="60">
        <v>2</v>
      </c>
      <c r="K91" s="61" t="s">
        <v>130</v>
      </c>
    </row>
    <row r="92" spans="1:11">
      <c r="A92" s="59">
        <v>64.003989032436039</v>
      </c>
      <c r="B92" s="60">
        <v>6</v>
      </c>
      <c r="C92" s="61" t="s">
        <v>136</v>
      </c>
      <c r="D92" s="60">
        <v>3</v>
      </c>
      <c r="E92" s="61" t="s">
        <v>114</v>
      </c>
      <c r="F92" s="61" t="str">
        <f t="shared" si="3"/>
        <v>Сигары</v>
      </c>
      <c r="G92" s="52">
        <v>7.3</v>
      </c>
      <c r="H92" s="60">
        <v>44</v>
      </c>
      <c r="I92" s="52">
        <f t="shared" si="4"/>
        <v>321.2</v>
      </c>
      <c r="J92" s="60">
        <v>5</v>
      </c>
      <c r="K92" s="61" t="s">
        <v>132</v>
      </c>
    </row>
    <row r="93" spans="1:11">
      <c r="A93" s="59">
        <v>165.3106425543283</v>
      </c>
      <c r="B93" s="60">
        <v>4</v>
      </c>
      <c r="C93" s="61" t="s">
        <v>142</v>
      </c>
      <c r="D93" s="60">
        <v>3</v>
      </c>
      <c r="E93" s="61" t="s">
        <v>114</v>
      </c>
      <c r="F93" s="61" t="str">
        <f t="shared" si="3"/>
        <v>Сигары</v>
      </c>
      <c r="G93" s="52">
        <v>7.3</v>
      </c>
      <c r="H93" s="60">
        <v>67</v>
      </c>
      <c r="I93" s="52">
        <f t="shared" si="4"/>
        <v>489.09999999999997</v>
      </c>
      <c r="J93" s="60">
        <v>4</v>
      </c>
      <c r="K93" s="61" t="s">
        <v>141</v>
      </c>
    </row>
    <row r="94" spans="1:11">
      <c r="A94" s="59">
        <v>107.9548810581955</v>
      </c>
      <c r="B94" s="60">
        <v>8</v>
      </c>
      <c r="C94" s="61" t="s">
        <v>138</v>
      </c>
      <c r="D94" s="60">
        <v>3</v>
      </c>
      <c r="E94" s="61" t="s">
        <v>114</v>
      </c>
      <c r="F94" s="61" t="str">
        <f t="shared" si="3"/>
        <v>Сигары</v>
      </c>
      <c r="G94" s="52">
        <v>7.3</v>
      </c>
      <c r="H94" s="60">
        <v>95</v>
      </c>
      <c r="I94" s="52">
        <f t="shared" si="4"/>
        <v>693.5</v>
      </c>
      <c r="J94" s="60">
        <v>4</v>
      </c>
      <c r="K94" s="61" t="s">
        <v>141</v>
      </c>
    </row>
    <row r="95" spans="1:11">
      <c r="A95" s="59">
        <v>12.021227537967206</v>
      </c>
      <c r="B95" s="60">
        <v>9</v>
      </c>
      <c r="C95" s="61" t="s">
        <v>144</v>
      </c>
      <c r="D95" s="60">
        <v>1</v>
      </c>
      <c r="E95" s="61" t="s">
        <v>109</v>
      </c>
      <c r="F95" s="61" t="str">
        <f t="shared" si="3"/>
        <v>Табак</v>
      </c>
      <c r="G95" s="52">
        <v>0.2</v>
      </c>
      <c r="H95" s="60">
        <v>48</v>
      </c>
      <c r="I95" s="52">
        <f t="shared" si="4"/>
        <v>9.6000000000000014</v>
      </c>
      <c r="J95" s="60">
        <v>3</v>
      </c>
      <c r="K95" s="61" t="s">
        <v>134</v>
      </c>
    </row>
    <row r="96" spans="1:11">
      <c r="A96" s="59">
        <v>277.61000537592827</v>
      </c>
      <c r="B96" s="60">
        <v>1</v>
      </c>
      <c r="C96" s="61" t="s">
        <v>140</v>
      </c>
      <c r="D96" s="60">
        <v>4</v>
      </c>
      <c r="E96" s="61" t="s">
        <v>117</v>
      </c>
      <c r="F96" s="61" t="str">
        <f t="shared" si="3"/>
        <v>Папиросы</v>
      </c>
      <c r="G96" s="52">
        <v>0.8</v>
      </c>
      <c r="H96" s="60">
        <v>54</v>
      </c>
      <c r="I96" s="52">
        <f t="shared" si="4"/>
        <v>43.2</v>
      </c>
      <c r="J96" s="60">
        <v>2</v>
      </c>
      <c r="K96" s="61" t="s">
        <v>130</v>
      </c>
    </row>
    <row r="97" spans="1:11">
      <c r="A97" s="59">
        <v>334.99715199150705</v>
      </c>
      <c r="B97" s="60">
        <v>3</v>
      </c>
      <c r="C97" s="61" t="s">
        <v>135</v>
      </c>
      <c r="D97" s="60">
        <v>5</v>
      </c>
      <c r="E97" s="61" t="s">
        <v>119</v>
      </c>
      <c r="F97" s="61" t="str">
        <f t="shared" si="3"/>
        <v>Папиросы</v>
      </c>
      <c r="G97" s="52">
        <v>0.4</v>
      </c>
      <c r="H97" s="60">
        <v>98</v>
      </c>
      <c r="I97" s="52">
        <f t="shared" si="4"/>
        <v>39.200000000000003</v>
      </c>
      <c r="J97" s="60">
        <v>4</v>
      </c>
      <c r="K97" s="61" t="s">
        <v>141</v>
      </c>
    </row>
    <row r="98" spans="1:11">
      <c r="A98" s="59">
        <v>9.1640635910935089</v>
      </c>
      <c r="B98" s="60">
        <v>6</v>
      </c>
      <c r="C98" s="61" t="s">
        <v>136</v>
      </c>
      <c r="D98" s="60">
        <v>1</v>
      </c>
      <c r="E98" s="61" t="s">
        <v>109</v>
      </c>
      <c r="F98" s="61" t="str">
        <f t="shared" si="3"/>
        <v>Табак</v>
      </c>
      <c r="G98" s="52">
        <v>0.2</v>
      </c>
      <c r="H98" s="60">
        <v>42</v>
      </c>
      <c r="I98" s="52">
        <f t="shared" si="4"/>
        <v>8.4</v>
      </c>
      <c r="J98" s="60">
        <v>1</v>
      </c>
      <c r="K98" s="61" t="s">
        <v>137</v>
      </c>
    </row>
    <row r="99" spans="1:11">
      <c r="A99" s="59">
        <v>322.40288312935479</v>
      </c>
      <c r="B99" s="60">
        <v>6</v>
      </c>
      <c r="C99" s="61" t="s">
        <v>136</v>
      </c>
      <c r="D99" s="60">
        <v>5</v>
      </c>
      <c r="E99" s="61" t="s">
        <v>119</v>
      </c>
      <c r="F99" s="61" t="str">
        <f t="shared" si="3"/>
        <v>Папиросы</v>
      </c>
      <c r="G99" s="52">
        <v>0.4</v>
      </c>
      <c r="H99" s="60">
        <v>7</v>
      </c>
      <c r="I99" s="52">
        <f t="shared" si="4"/>
        <v>2.8000000000000003</v>
      </c>
      <c r="J99" s="60">
        <v>1</v>
      </c>
      <c r="K99" s="61" t="s">
        <v>137</v>
      </c>
    </row>
    <row r="100" spans="1:11">
      <c r="A100" s="59">
        <v>55.849568394038215</v>
      </c>
      <c r="B100" s="60">
        <v>2</v>
      </c>
      <c r="C100" s="61" t="s">
        <v>131</v>
      </c>
      <c r="D100" s="60">
        <v>1</v>
      </c>
      <c r="E100" s="61" t="s">
        <v>109</v>
      </c>
      <c r="F100" s="61" t="str">
        <f t="shared" si="3"/>
        <v>Табак</v>
      </c>
      <c r="G100" s="52">
        <v>0.2</v>
      </c>
      <c r="H100" s="60">
        <v>98</v>
      </c>
      <c r="I100" s="52">
        <f t="shared" si="4"/>
        <v>19.600000000000001</v>
      </c>
      <c r="J100" s="60">
        <v>6</v>
      </c>
      <c r="K100" s="61" t="s">
        <v>139</v>
      </c>
    </row>
    <row r="101" spans="1:11">
      <c r="A101" s="59">
        <v>15.745552849303749</v>
      </c>
      <c r="B101" s="60">
        <v>7</v>
      </c>
      <c r="C101" s="61" t="s">
        <v>129</v>
      </c>
      <c r="D101" s="60">
        <v>1</v>
      </c>
      <c r="E101" s="61" t="s">
        <v>109</v>
      </c>
      <c r="F101" s="61" t="str">
        <f t="shared" si="3"/>
        <v>Табак</v>
      </c>
      <c r="G101" s="52">
        <v>0.2</v>
      </c>
      <c r="H101" s="60">
        <v>37</v>
      </c>
      <c r="I101" s="52">
        <f t="shared" si="4"/>
        <v>7.4</v>
      </c>
      <c r="J101" s="60">
        <v>6</v>
      </c>
      <c r="K101" s="61" t="s">
        <v>139</v>
      </c>
    </row>
    <row r="102" spans="1:11">
      <c r="A102" s="59">
        <v>354.20888801211368</v>
      </c>
      <c r="B102" s="60">
        <v>9</v>
      </c>
      <c r="C102" s="61" t="s">
        <v>144</v>
      </c>
      <c r="D102" s="60">
        <v>2</v>
      </c>
      <c r="E102" s="61" t="s">
        <v>112</v>
      </c>
      <c r="F102" s="61" t="str">
        <f t="shared" si="3"/>
        <v>Табак</v>
      </c>
      <c r="G102" s="52">
        <v>0.5</v>
      </c>
      <c r="H102" s="60">
        <v>70</v>
      </c>
      <c r="I102" s="52">
        <f t="shared" si="4"/>
        <v>35</v>
      </c>
      <c r="J102" s="60">
        <v>3</v>
      </c>
      <c r="K102" s="61" t="s">
        <v>134</v>
      </c>
    </row>
    <row r="103" spans="1:11">
      <c r="A103" s="59">
        <v>347.62352196873144</v>
      </c>
      <c r="B103" s="60">
        <v>5</v>
      </c>
      <c r="C103" s="61" t="s">
        <v>133</v>
      </c>
      <c r="D103" s="60">
        <v>4</v>
      </c>
      <c r="E103" s="61" t="s">
        <v>117</v>
      </c>
      <c r="F103" s="61" t="str">
        <f t="shared" si="3"/>
        <v>Папиросы</v>
      </c>
      <c r="G103" s="52">
        <v>0.8</v>
      </c>
      <c r="H103" s="60">
        <v>98</v>
      </c>
      <c r="I103" s="52">
        <f t="shared" si="4"/>
        <v>78.400000000000006</v>
      </c>
      <c r="J103" s="60">
        <v>2</v>
      </c>
      <c r="K103" s="61" t="s">
        <v>130</v>
      </c>
    </row>
    <row r="104" spans="1:11">
      <c r="A104" s="59">
        <v>277.74360991178219</v>
      </c>
      <c r="B104" s="60">
        <v>2</v>
      </c>
      <c r="C104" s="61" t="s">
        <v>131</v>
      </c>
      <c r="D104" s="60">
        <v>5</v>
      </c>
      <c r="E104" s="61" t="s">
        <v>119</v>
      </c>
      <c r="F104" s="61" t="str">
        <f t="shared" si="3"/>
        <v>Папиросы</v>
      </c>
      <c r="G104" s="52">
        <v>0.4</v>
      </c>
      <c r="H104" s="60">
        <v>12</v>
      </c>
      <c r="I104" s="52">
        <f t="shared" si="4"/>
        <v>4.8000000000000007</v>
      </c>
      <c r="J104" s="60">
        <v>5</v>
      </c>
      <c r="K104" s="61" t="s">
        <v>132</v>
      </c>
    </row>
    <row r="105" spans="1:11">
      <c r="A105" s="59">
        <v>187.12729861285061</v>
      </c>
      <c r="B105" s="60">
        <v>6</v>
      </c>
      <c r="C105" s="61" t="s">
        <v>136</v>
      </c>
      <c r="D105" s="60">
        <v>2</v>
      </c>
      <c r="E105" s="61" t="s">
        <v>112</v>
      </c>
      <c r="F105" s="61" t="str">
        <f t="shared" si="3"/>
        <v>Табак</v>
      </c>
      <c r="G105" s="52">
        <v>0.5</v>
      </c>
      <c r="H105" s="60">
        <v>38</v>
      </c>
      <c r="I105" s="52">
        <f t="shared" si="4"/>
        <v>19</v>
      </c>
      <c r="J105" s="60">
        <v>4</v>
      </c>
      <c r="K105" s="61" t="s">
        <v>141</v>
      </c>
    </row>
    <row r="106" spans="1:11">
      <c r="A106" s="59">
        <v>114.33403180582536</v>
      </c>
      <c r="B106" s="60">
        <v>7</v>
      </c>
      <c r="C106" s="61" t="s">
        <v>129</v>
      </c>
      <c r="D106" s="60">
        <v>5</v>
      </c>
      <c r="E106" s="61" t="s">
        <v>119</v>
      </c>
      <c r="F106" s="61" t="str">
        <f t="shared" si="3"/>
        <v>Папиросы</v>
      </c>
      <c r="G106" s="52">
        <v>0.4</v>
      </c>
      <c r="H106" s="60">
        <v>1</v>
      </c>
      <c r="I106" s="52">
        <f t="shared" si="4"/>
        <v>0.4</v>
      </c>
      <c r="J106" s="60">
        <v>3</v>
      </c>
      <c r="K106" s="61" t="s">
        <v>134</v>
      </c>
    </row>
    <row r="107" spans="1:11">
      <c r="A107" s="59">
        <v>246.66072001086923</v>
      </c>
      <c r="B107" s="60">
        <v>6</v>
      </c>
      <c r="C107" s="61" t="s">
        <v>136</v>
      </c>
      <c r="D107" s="60">
        <v>3</v>
      </c>
      <c r="E107" s="61" t="s">
        <v>114</v>
      </c>
      <c r="F107" s="61" t="str">
        <f t="shared" si="3"/>
        <v>Сигары</v>
      </c>
      <c r="G107" s="52">
        <v>7.3</v>
      </c>
      <c r="H107" s="60">
        <v>65</v>
      </c>
      <c r="I107" s="52">
        <f t="shared" si="4"/>
        <v>474.5</v>
      </c>
      <c r="J107" s="60">
        <v>2</v>
      </c>
      <c r="K107" s="61" t="s">
        <v>130</v>
      </c>
    </row>
    <row r="108" spans="1:11">
      <c r="A108" s="59">
        <v>62.065581746670432</v>
      </c>
      <c r="B108" s="60">
        <v>6</v>
      </c>
      <c r="C108" s="61" t="s">
        <v>136</v>
      </c>
      <c r="D108" s="60">
        <v>2</v>
      </c>
      <c r="E108" s="61" t="s">
        <v>112</v>
      </c>
      <c r="F108" s="61" t="str">
        <f t="shared" si="3"/>
        <v>Табак</v>
      </c>
      <c r="G108" s="52">
        <v>0.5</v>
      </c>
      <c r="H108" s="60">
        <v>16</v>
      </c>
      <c r="I108" s="52">
        <f t="shared" si="4"/>
        <v>8</v>
      </c>
      <c r="J108" s="60">
        <v>1</v>
      </c>
      <c r="K108" s="61" t="s">
        <v>137</v>
      </c>
    </row>
    <row r="109" spans="1:11">
      <c r="A109" s="59">
        <v>108.21268905030684</v>
      </c>
      <c r="B109" s="60">
        <v>8</v>
      </c>
      <c r="C109" s="61" t="s">
        <v>138</v>
      </c>
      <c r="D109" s="60">
        <v>2</v>
      </c>
      <c r="E109" s="61" t="s">
        <v>112</v>
      </c>
      <c r="F109" s="61" t="str">
        <f t="shared" si="3"/>
        <v>Табак</v>
      </c>
      <c r="G109" s="52">
        <v>0.5</v>
      </c>
      <c r="H109" s="60">
        <v>72</v>
      </c>
      <c r="I109" s="52">
        <f t="shared" si="4"/>
        <v>36</v>
      </c>
      <c r="J109" s="60">
        <v>5</v>
      </c>
      <c r="K109" s="61" t="s">
        <v>132</v>
      </c>
    </row>
    <row r="110" spans="1:11">
      <c r="A110" s="59">
        <v>353.95351806342296</v>
      </c>
      <c r="B110" s="60">
        <v>5</v>
      </c>
      <c r="C110" s="61" t="s">
        <v>133</v>
      </c>
      <c r="D110" s="60">
        <v>5</v>
      </c>
      <c r="E110" s="61" t="s">
        <v>119</v>
      </c>
      <c r="F110" s="61" t="str">
        <f t="shared" si="3"/>
        <v>Папиросы</v>
      </c>
      <c r="G110" s="52">
        <v>0.4</v>
      </c>
      <c r="H110" s="60">
        <v>37</v>
      </c>
      <c r="I110" s="52">
        <f t="shared" si="4"/>
        <v>14.8</v>
      </c>
      <c r="J110" s="60">
        <v>4</v>
      </c>
      <c r="K110" s="61" t="s">
        <v>141</v>
      </c>
    </row>
    <row r="111" spans="1:11">
      <c r="A111" s="59">
        <v>29.635255877234158</v>
      </c>
      <c r="B111" s="60">
        <v>5</v>
      </c>
      <c r="C111" s="61" t="s">
        <v>133</v>
      </c>
      <c r="D111" s="60">
        <v>5</v>
      </c>
      <c r="E111" s="61" t="s">
        <v>119</v>
      </c>
      <c r="F111" s="61" t="str">
        <f t="shared" si="3"/>
        <v>Папиросы</v>
      </c>
      <c r="G111" s="52">
        <v>0.4</v>
      </c>
      <c r="H111" s="60">
        <v>49</v>
      </c>
      <c r="I111" s="52">
        <f t="shared" si="4"/>
        <v>19.600000000000001</v>
      </c>
      <c r="J111" s="60">
        <v>3</v>
      </c>
      <c r="K111" s="61" t="s">
        <v>134</v>
      </c>
    </row>
    <row r="112" spans="1:11">
      <c r="A112" s="59">
        <v>254.98232531666054</v>
      </c>
      <c r="B112" s="60">
        <v>10</v>
      </c>
      <c r="C112" s="61" t="s">
        <v>143</v>
      </c>
      <c r="D112" s="60">
        <v>1</v>
      </c>
      <c r="E112" s="61" t="s">
        <v>109</v>
      </c>
      <c r="F112" s="61" t="str">
        <f t="shared" si="3"/>
        <v>Табак</v>
      </c>
      <c r="G112" s="52">
        <v>0.2</v>
      </c>
      <c r="H112" s="60">
        <v>70</v>
      </c>
      <c r="I112" s="52">
        <f t="shared" si="4"/>
        <v>14</v>
      </c>
      <c r="J112" s="60">
        <v>2</v>
      </c>
      <c r="K112" s="61" t="s">
        <v>130</v>
      </c>
    </row>
    <row r="113" spans="1:11">
      <c r="A113" s="59">
        <v>28.551289923112563</v>
      </c>
      <c r="B113" s="60">
        <v>4</v>
      </c>
      <c r="C113" s="61" t="s">
        <v>142</v>
      </c>
      <c r="D113" s="60">
        <v>5</v>
      </c>
      <c r="E113" s="61" t="s">
        <v>119</v>
      </c>
      <c r="F113" s="61" t="str">
        <f t="shared" si="3"/>
        <v>Папиросы</v>
      </c>
      <c r="G113" s="52">
        <v>0.4</v>
      </c>
      <c r="H113" s="60">
        <v>60</v>
      </c>
      <c r="I113" s="52">
        <f t="shared" si="4"/>
        <v>24</v>
      </c>
      <c r="J113" s="60">
        <v>4</v>
      </c>
      <c r="K113" s="61" t="s">
        <v>141</v>
      </c>
    </row>
    <row r="114" spans="1:11">
      <c r="A114" s="59">
        <v>194.35268988847474</v>
      </c>
      <c r="B114" s="60">
        <v>6</v>
      </c>
      <c r="C114" s="61" t="s">
        <v>136</v>
      </c>
      <c r="D114" s="60">
        <v>4</v>
      </c>
      <c r="E114" s="61" t="s">
        <v>117</v>
      </c>
      <c r="F114" s="61" t="str">
        <f t="shared" si="3"/>
        <v>Папиросы</v>
      </c>
      <c r="G114" s="52">
        <v>0.8</v>
      </c>
      <c r="H114" s="60">
        <v>89</v>
      </c>
      <c r="I114" s="52">
        <f t="shared" si="4"/>
        <v>71.2</v>
      </c>
      <c r="J114" s="60">
        <v>5</v>
      </c>
      <c r="K114" s="61" t="s">
        <v>132</v>
      </c>
    </row>
    <row r="115" spans="1:11">
      <c r="A115" s="59">
        <v>264.90174971043962</v>
      </c>
      <c r="B115" s="60">
        <v>10</v>
      </c>
      <c r="C115" s="61" t="s">
        <v>143</v>
      </c>
      <c r="D115" s="60">
        <v>3</v>
      </c>
      <c r="E115" s="61" t="s">
        <v>114</v>
      </c>
      <c r="F115" s="61" t="str">
        <f t="shared" si="3"/>
        <v>Сигары</v>
      </c>
      <c r="G115" s="52">
        <v>7.3</v>
      </c>
      <c r="H115" s="60">
        <v>38</v>
      </c>
      <c r="I115" s="52">
        <f t="shared" si="4"/>
        <v>277.39999999999998</v>
      </c>
      <c r="J115" s="60">
        <v>3</v>
      </c>
      <c r="K115" s="61" t="s">
        <v>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5AA1E-FC78-4893-BDD0-12FD9344BDCF}">
  <sheetPr>
    <tabColor rgb="FFFFFF00"/>
  </sheetPr>
  <dimension ref="A1:K22"/>
  <sheetViews>
    <sheetView workbookViewId="0">
      <selection activeCell="E7" sqref="E7"/>
    </sheetView>
  </sheetViews>
  <sheetFormatPr defaultRowHeight="12.75"/>
  <cols>
    <col min="1" max="16384" width="9.140625" style="15"/>
  </cols>
  <sheetData>
    <row r="1" spans="1:11">
      <c r="A1" s="98" t="s">
        <v>201</v>
      </c>
    </row>
    <row r="2" spans="1:11">
      <c r="A2" s="90">
        <v>29</v>
      </c>
      <c r="D2" s="63">
        <f>_xlfn.MINIFS(A:A, A:A, "&gt;0")</f>
        <v>29</v>
      </c>
    </row>
    <row r="3" spans="1:11">
      <c r="A3" s="90">
        <v>181</v>
      </c>
    </row>
    <row r="4" spans="1:11">
      <c r="A4" s="90">
        <v>62</v>
      </c>
    </row>
    <row r="5" spans="1:11">
      <c r="A5" s="90">
        <v>115</v>
      </c>
    </row>
    <row r="6" spans="1:11">
      <c r="A6" s="90">
        <v>80</v>
      </c>
      <c r="F6" s="64" t="s">
        <v>202</v>
      </c>
      <c r="G6" s="65"/>
      <c r="H6" s="65"/>
      <c r="I6" s="65"/>
      <c r="J6" s="65"/>
      <c r="K6" s="65"/>
    </row>
    <row r="7" spans="1:11">
      <c r="A7" s="90">
        <v>0</v>
      </c>
      <c r="F7" s="64" t="s">
        <v>203</v>
      </c>
      <c r="G7" s="65"/>
      <c r="H7" s="65"/>
      <c r="I7" s="65"/>
      <c r="J7" s="65"/>
      <c r="K7" s="65"/>
    </row>
    <row r="8" spans="1:11">
      <c r="A8" s="90">
        <v>35</v>
      </c>
      <c r="F8" s="66" t="s">
        <v>204</v>
      </c>
      <c r="G8" s="67"/>
      <c r="H8" s="67"/>
      <c r="I8" s="67"/>
      <c r="J8" s="67"/>
      <c r="K8" s="67"/>
    </row>
    <row r="9" spans="1:11">
      <c r="A9" s="91">
        <v>320</v>
      </c>
      <c r="F9" s="66" t="s">
        <v>311</v>
      </c>
      <c r="G9" s="67"/>
      <c r="H9" s="67"/>
      <c r="I9" s="67"/>
      <c r="J9" s="67"/>
      <c r="K9" s="67"/>
    </row>
    <row r="10" spans="1:11">
      <c r="A10" s="90">
        <v>141</v>
      </c>
      <c r="F10" s="64"/>
      <c r="G10" s="65"/>
      <c r="H10" s="65"/>
      <c r="I10" s="65"/>
      <c r="J10" s="65"/>
      <c r="K10" s="65"/>
    </row>
    <row r="11" spans="1:11" ht="15">
      <c r="A11" s="90">
        <v>263</v>
      </c>
      <c r="F11"/>
      <c r="G11"/>
      <c r="H11"/>
      <c r="I11"/>
      <c r="J11"/>
      <c r="K11"/>
    </row>
    <row r="12" spans="1:11">
      <c r="A12" s="90">
        <v>0</v>
      </c>
    </row>
    <row r="13" spans="1:11">
      <c r="A13" s="90">
        <v>191</v>
      </c>
    </row>
    <row r="14" spans="1:11">
      <c r="A14" s="90">
        <v>52</v>
      </c>
    </row>
    <row r="15" spans="1:11">
      <c r="A15" s="90">
        <v>198</v>
      </c>
    </row>
    <row r="16" spans="1:11">
      <c r="A16" s="90">
        <v>205</v>
      </c>
    </row>
    <row r="17" spans="1:1">
      <c r="A17" s="90">
        <v>239</v>
      </c>
    </row>
    <row r="18" spans="1:1">
      <c r="A18" s="90">
        <v>145</v>
      </c>
    </row>
    <row r="19" spans="1:1">
      <c r="A19" s="90">
        <v>-13</v>
      </c>
    </row>
    <row r="20" spans="1:1">
      <c r="A20" s="90">
        <v>901</v>
      </c>
    </row>
    <row r="21" spans="1:1">
      <c r="A21" s="90">
        <v>-2</v>
      </c>
    </row>
    <row r="22" spans="1:1">
      <c r="A22" s="90">
        <v>-9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D223-105C-4AC0-B05C-9EB281252071}">
  <sheetPr>
    <tabColor rgb="FFFF0000"/>
  </sheetPr>
  <dimension ref="A1:D9"/>
  <sheetViews>
    <sheetView topLeftCell="A7" zoomScale="85" zoomScaleNormal="85" workbookViewId="0">
      <selection activeCell="E31" sqref="E31"/>
    </sheetView>
  </sheetViews>
  <sheetFormatPr defaultColWidth="9.140625" defaultRowHeight="12.75"/>
  <cols>
    <col min="1" max="1" width="9.140625" style="15"/>
    <col min="2" max="2" width="18.28515625" style="15" customWidth="1"/>
    <col min="3" max="3" width="16.28515625" style="15" customWidth="1"/>
    <col min="4" max="4" width="20.42578125" style="15" customWidth="1"/>
    <col min="5" max="16384" width="9.140625" style="15"/>
  </cols>
  <sheetData>
    <row r="1" spans="1:4">
      <c r="A1" s="15" t="s">
        <v>305</v>
      </c>
    </row>
    <row r="3" spans="1:4">
      <c r="A3" s="70" t="s">
        <v>208</v>
      </c>
      <c r="B3" s="46" t="s">
        <v>209</v>
      </c>
      <c r="C3" s="70" t="s">
        <v>210</v>
      </c>
      <c r="D3" s="46" t="s">
        <v>211</v>
      </c>
    </row>
    <row r="4" spans="1:4">
      <c r="A4" s="30">
        <v>1</v>
      </c>
      <c r="B4" s="15" t="s">
        <v>212</v>
      </c>
      <c r="C4" s="30">
        <v>0</v>
      </c>
      <c r="D4" s="30">
        <v>2</v>
      </c>
    </row>
    <row r="5" spans="1:4">
      <c r="A5" s="30">
        <v>2</v>
      </c>
      <c r="B5" s="15" t="s">
        <v>213</v>
      </c>
      <c r="C5" s="30">
        <v>2</v>
      </c>
      <c r="D5" s="30">
        <v>3</v>
      </c>
    </row>
    <row r="6" spans="1:4">
      <c r="A6" s="30">
        <v>3</v>
      </c>
      <c r="B6" s="15" t="s">
        <v>214</v>
      </c>
      <c r="C6" s="30">
        <v>2</v>
      </c>
      <c r="D6" s="30">
        <v>5</v>
      </c>
    </row>
    <row r="7" spans="1:4">
      <c r="A7" s="30">
        <v>4</v>
      </c>
      <c r="B7" s="15" t="s">
        <v>215</v>
      </c>
      <c r="C7" s="30">
        <v>4</v>
      </c>
      <c r="D7" s="30">
        <v>2</v>
      </c>
    </row>
    <row r="8" spans="1:4">
      <c r="A8" s="30">
        <v>5</v>
      </c>
      <c r="B8" s="15" t="s">
        <v>216</v>
      </c>
      <c r="C8" s="30">
        <v>5</v>
      </c>
      <c r="D8" s="30">
        <v>3</v>
      </c>
    </row>
    <row r="9" spans="1:4">
      <c r="A9" s="30">
        <v>6</v>
      </c>
      <c r="B9" s="15" t="s">
        <v>217</v>
      </c>
      <c r="C9" s="30">
        <v>8</v>
      </c>
      <c r="D9" s="30">
        <v>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0C1F-98D4-45DA-96B4-B5BC799E9FA8}">
  <sheetPr>
    <tabColor rgb="FFFF0000"/>
  </sheetPr>
  <dimension ref="A1:N14"/>
  <sheetViews>
    <sheetView workbookViewId="0">
      <selection activeCell="H16" sqref="H16"/>
    </sheetView>
  </sheetViews>
  <sheetFormatPr defaultRowHeight="15"/>
  <cols>
    <col min="1" max="1" width="13.28515625" customWidth="1"/>
    <col min="2" max="2" width="16.42578125" customWidth="1"/>
    <col min="6" max="6" width="14.7109375" customWidth="1"/>
  </cols>
  <sheetData>
    <row r="1" spans="1:14">
      <c r="M1" s="105" t="s">
        <v>313</v>
      </c>
      <c r="N1" s="106"/>
    </row>
    <row r="2" spans="1:14">
      <c r="A2" s="71" t="s">
        <v>207</v>
      </c>
      <c r="B2" s="71" t="s">
        <v>218</v>
      </c>
      <c r="M2" s="107" t="s">
        <v>312</v>
      </c>
      <c r="N2" s="108" t="s">
        <v>314</v>
      </c>
    </row>
    <row r="3" spans="1:14">
      <c r="A3" s="72">
        <v>43415</v>
      </c>
      <c r="B3" t="str">
        <f t="shared" ref="B3:B14" si="0">VLOOKUP(MONTH(A3), $M$3:$N$14, 2, 0)</f>
        <v>Осень</v>
      </c>
      <c r="M3" s="34">
        <v>1</v>
      </c>
      <c r="N3" s="34" t="s">
        <v>315</v>
      </c>
    </row>
    <row r="4" spans="1:14">
      <c r="A4" s="72">
        <v>43154</v>
      </c>
      <c r="B4" t="str">
        <f t="shared" si="0"/>
        <v>Зима</v>
      </c>
      <c r="M4" s="34">
        <v>2</v>
      </c>
      <c r="N4" s="34" t="s">
        <v>315</v>
      </c>
    </row>
    <row r="5" spans="1:14">
      <c r="A5" s="72">
        <v>42860</v>
      </c>
      <c r="B5" t="str">
        <f t="shared" si="0"/>
        <v>Весна</v>
      </c>
      <c r="M5" s="34">
        <v>3</v>
      </c>
      <c r="N5" s="34" t="s">
        <v>316</v>
      </c>
    </row>
    <row r="6" spans="1:14">
      <c r="A6" s="72">
        <v>42897</v>
      </c>
      <c r="B6" t="str">
        <f t="shared" si="0"/>
        <v>Лето</v>
      </c>
      <c r="M6" s="34">
        <v>4</v>
      </c>
      <c r="N6" s="34" t="s">
        <v>316</v>
      </c>
    </row>
    <row r="7" spans="1:14">
      <c r="A7" s="72">
        <v>43464</v>
      </c>
      <c r="B7" t="str">
        <f t="shared" si="0"/>
        <v>Зима</v>
      </c>
      <c r="M7" s="34">
        <v>5</v>
      </c>
      <c r="N7" s="34" t="s">
        <v>316</v>
      </c>
    </row>
    <row r="8" spans="1:14">
      <c r="A8" s="72">
        <v>43352</v>
      </c>
      <c r="B8" t="str">
        <f t="shared" si="0"/>
        <v>Осень</v>
      </c>
      <c r="M8" s="34">
        <v>6</v>
      </c>
      <c r="N8" s="34" t="s">
        <v>317</v>
      </c>
    </row>
    <row r="9" spans="1:14">
      <c r="A9" s="72">
        <v>43193</v>
      </c>
      <c r="B9" t="str">
        <f t="shared" si="0"/>
        <v>Весна</v>
      </c>
      <c r="M9" s="34">
        <v>7</v>
      </c>
      <c r="N9" s="34" t="s">
        <v>317</v>
      </c>
    </row>
    <row r="10" spans="1:14">
      <c r="A10" s="72">
        <v>43466</v>
      </c>
      <c r="B10" t="str">
        <f t="shared" si="0"/>
        <v>Зима</v>
      </c>
      <c r="M10" s="34">
        <v>8</v>
      </c>
      <c r="N10" s="34" t="s">
        <v>317</v>
      </c>
    </row>
    <row r="11" spans="1:14">
      <c r="A11" s="72">
        <v>43530</v>
      </c>
      <c r="B11" t="str">
        <f t="shared" si="0"/>
        <v>Весна</v>
      </c>
      <c r="M11" s="34">
        <v>9</v>
      </c>
      <c r="N11" s="34" t="s">
        <v>318</v>
      </c>
    </row>
    <row r="12" spans="1:14">
      <c r="A12" s="72">
        <v>43325</v>
      </c>
      <c r="B12" t="str">
        <f t="shared" si="0"/>
        <v>Лето</v>
      </c>
      <c r="M12" s="34">
        <v>10</v>
      </c>
      <c r="N12" s="34" t="s">
        <v>318</v>
      </c>
    </row>
    <row r="13" spans="1:14">
      <c r="A13" s="72">
        <v>43294</v>
      </c>
      <c r="B13" t="str">
        <f t="shared" si="0"/>
        <v>Лето</v>
      </c>
      <c r="M13" s="34">
        <v>11</v>
      </c>
      <c r="N13" s="34" t="s">
        <v>318</v>
      </c>
    </row>
    <row r="14" spans="1:14">
      <c r="A14" s="72">
        <v>43018</v>
      </c>
      <c r="B14" t="str">
        <f t="shared" si="0"/>
        <v>Осень</v>
      </c>
      <c r="M14" s="34">
        <v>12</v>
      </c>
      <c r="N14" s="34" t="s">
        <v>315</v>
      </c>
    </row>
  </sheetData>
  <mergeCells count="1">
    <mergeCell ref="M1:N1"/>
  </mergeCell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91F2-4B5C-4E80-8EE2-C6BA3B230951}">
  <sheetPr>
    <tabColor rgb="FFFF0000"/>
  </sheetPr>
  <dimension ref="A1:M716"/>
  <sheetViews>
    <sheetView showGridLines="0" zoomScale="70" zoomScaleNormal="70" workbookViewId="0">
      <selection activeCell="O4" sqref="O4"/>
    </sheetView>
  </sheetViews>
  <sheetFormatPr defaultRowHeight="14.25"/>
  <cols>
    <col min="1" max="1" width="3.42578125" style="82" bestFit="1" customWidth="1"/>
    <col min="2" max="2" width="29.28515625" style="82" bestFit="1" customWidth="1"/>
    <col min="3" max="3" width="9.42578125" style="82" bestFit="1" customWidth="1"/>
    <col min="4" max="4" width="7.5703125" style="82" bestFit="1" customWidth="1"/>
    <col min="5" max="5" width="9.140625" style="82"/>
    <col min="6" max="6" width="3.42578125" style="82" bestFit="1" customWidth="1"/>
    <col min="7" max="7" width="25.85546875" style="82" bestFit="1" customWidth="1"/>
    <col min="8" max="8" width="9.42578125" style="82" bestFit="1" customWidth="1"/>
    <col min="9" max="9" width="8.28515625" style="82" bestFit="1" customWidth="1"/>
    <col min="10" max="10" width="9.140625" style="82"/>
    <col min="11" max="11" width="27.140625" style="82" customWidth="1"/>
    <col min="12" max="12" width="7.7109375" style="82" customWidth="1"/>
    <col min="13" max="16384" width="9.140625" style="82"/>
  </cols>
  <sheetData>
    <row r="1" spans="1:13" s="76" customFormat="1" ht="18">
      <c r="A1" s="73"/>
      <c r="B1" s="74" t="s">
        <v>219</v>
      </c>
      <c r="C1" s="75"/>
      <c r="D1" s="75"/>
      <c r="F1" s="77" t="s">
        <v>220</v>
      </c>
      <c r="G1" s="77"/>
      <c r="H1" s="77"/>
      <c r="I1" s="77"/>
    </row>
    <row r="2" spans="1:13" s="79" customFormat="1" ht="19.5" customHeight="1">
      <c r="A2" s="78" t="s">
        <v>208</v>
      </c>
      <c r="B2" s="78" t="s">
        <v>124</v>
      </c>
      <c r="C2" s="78" t="s">
        <v>221</v>
      </c>
      <c r="D2" s="78" t="s">
        <v>222</v>
      </c>
      <c r="F2" s="78" t="s">
        <v>208</v>
      </c>
      <c r="G2" s="78" t="s">
        <v>124</v>
      </c>
      <c r="H2" s="78" t="s">
        <v>221</v>
      </c>
      <c r="I2" s="78" t="s">
        <v>222</v>
      </c>
    </row>
    <row r="3" spans="1:13" ht="15">
      <c r="A3" s="80">
        <v>1</v>
      </c>
      <c r="B3" s="81" t="s">
        <v>223</v>
      </c>
      <c r="C3" s="81">
        <v>115</v>
      </c>
      <c r="D3" s="81" t="str">
        <f>IF(COUNTIF($G$3:$G$72, B3)&gt;0, "Продолжается","Завершен")</f>
        <v>Продолжается</v>
      </c>
      <c r="F3" s="80">
        <v>1</v>
      </c>
      <c r="G3" s="81" t="s">
        <v>223</v>
      </c>
      <c r="H3" s="81">
        <v>115</v>
      </c>
      <c r="I3" s="81" t="str">
        <f>IF(COUNTIF($B$3:$B$62,G3)&gt;0, "Продолжается","Новый")</f>
        <v>Продолжается</v>
      </c>
      <c r="K3" s="83" t="s">
        <v>224</v>
      </c>
      <c r="L3" s="81">
        <f>COUNTIF(D3:D62,"Завершен")</f>
        <v>10</v>
      </c>
      <c r="M3" s="84">
        <v>10</v>
      </c>
    </row>
    <row r="4" spans="1:13" ht="15">
      <c r="A4" s="80">
        <v>2</v>
      </c>
      <c r="B4" s="81" t="s">
        <v>225</v>
      </c>
      <c r="C4" s="81">
        <v>100</v>
      </c>
      <c r="D4" s="81" t="str">
        <f t="shared" ref="D4:D62" si="0">IF(COUNTIF($G$3:$G$72, B4)&gt;0, "Продолжается","Завершен")</f>
        <v>Продолжается</v>
      </c>
      <c r="F4" s="80">
        <v>2</v>
      </c>
      <c r="G4" s="81" t="s">
        <v>225</v>
      </c>
      <c r="H4" s="81">
        <v>100</v>
      </c>
      <c r="I4" s="81" t="str">
        <f t="shared" ref="I4:I67" si="1">IF(COUNTIF($B$3:$B$62,G4)&gt;0, "Продолжается","Новый")</f>
        <v>Продолжается</v>
      </c>
      <c r="K4" s="83" t="s">
        <v>226</v>
      </c>
      <c r="L4" s="81">
        <f>COUNTIF(I3:I72,"Новый")</f>
        <v>20</v>
      </c>
      <c r="M4" s="84">
        <v>20</v>
      </c>
    </row>
    <row r="5" spans="1:13">
      <c r="A5" s="80">
        <v>3</v>
      </c>
      <c r="B5" s="81" t="s">
        <v>227</v>
      </c>
      <c r="C5" s="81">
        <v>125</v>
      </c>
      <c r="D5" s="81" t="str">
        <f t="shared" si="0"/>
        <v>Завершен</v>
      </c>
      <c r="F5" s="80">
        <v>3</v>
      </c>
      <c r="G5" s="81" t="s">
        <v>228</v>
      </c>
      <c r="H5" s="81">
        <v>180</v>
      </c>
      <c r="I5" s="81" t="str">
        <f t="shared" si="1"/>
        <v>Новый</v>
      </c>
    </row>
    <row r="6" spans="1:13">
      <c r="A6" s="80">
        <v>4</v>
      </c>
      <c r="B6" s="81" t="s">
        <v>229</v>
      </c>
      <c r="C6" s="81">
        <v>135</v>
      </c>
      <c r="D6" s="81" t="str">
        <f t="shared" si="0"/>
        <v>Завершен</v>
      </c>
      <c r="F6" s="80">
        <v>4</v>
      </c>
      <c r="G6" s="81" t="s">
        <v>230</v>
      </c>
      <c r="H6" s="81">
        <v>150</v>
      </c>
      <c r="I6" s="81" t="str">
        <f t="shared" si="1"/>
        <v>Продолжается</v>
      </c>
    </row>
    <row r="7" spans="1:13">
      <c r="A7" s="80">
        <v>5</v>
      </c>
      <c r="B7" s="81" t="s">
        <v>231</v>
      </c>
      <c r="C7" s="81">
        <v>140</v>
      </c>
      <c r="D7" s="81" t="str">
        <f t="shared" si="0"/>
        <v>Завершен</v>
      </c>
      <c r="F7" s="80">
        <v>5</v>
      </c>
      <c r="G7" s="81" t="s">
        <v>232</v>
      </c>
      <c r="H7" s="81">
        <v>200</v>
      </c>
      <c r="I7" s="81" t="str">
        <f t="shared" si="1"/>
        <v>Продолжается</v>
      </c>
    </row>
    <row r="8" spans="1:13">
      <c r="A8" s="80">
        <v>6</v>
      </c>
      <c r="B8" s="81" t="s">
        <v>230</v>
      </c>
      <c r="C8" s="81">
        <v>150</v>
      </c>
      <c r="D8" s="81" t="str">
        <f t="shared" si="0"/>
        <v>Продолжается</v>
      </c>
      <c r="F8" s="80">
        <v>6</v>
      </c>
      <c r="G8" s="81" t="s">
        <v>233</v>
      </c>
      <c r="H8" s="81">
        <v>135</v>
      </c>
      <c r="I8" s="81" t="str">
        <f t="shared" si="1"/>
        <v>Продолжается</v>
      </c>
    </row>
    <row r="9" spans="1:13">
      <c r="A9" s="80">
        <v>7</v>
      </c>
      <c r="B9" s="81" t="s">
        <v>232</v>
      </c>
      <c r="C9" s="81">
        <v>200</v>
      </c>
      <c r="D9" s="81" t="str">
        <f t="shared" si="0"/>
        <v>Продолжается</v>
      </c>
      <c r="F9" s="80">
        <v>7</v>
      </c>
      <c r="G9" s="81" t="s">
        <v>234</v>
      </c>
      <c r="H9" s="81">
        <v>145</v>
      </c>
      <c r="I9" s="81" t="str">
        <f t="shared" si="1"/>
        <v>Продолжается</v>
      </c>
    </row>
    <row r="10" spans="1:13">
      <c r="A10" s="80">
        <v>8</v>
      </c>
      <c r="B10" s="81" t="s">
        <v>233</v>
      </c>
      <c r="C10" s="81">
        <v>135</v>
      </c>
      <c r="D10" s="81" t="str">
        <f t="shared" si="0"/>
        <v>Продолжается</v>
      </c>
      <c r="F10" s="80">
        <v>8</v>
      </c>
      <c r="G10" s="81" t="s">
        <v>235</v>
      </c>
      <c r="H10" s="81">
        <v>180</v>
      </c>
      <c r="I10" s="81" t="str">
        <f t="shared" si="1"/>
        <v>Продолжается</v>
      </c>
    </row>
    <row r="11" spans="1:13">
      <c r="A11" s="80">
        <v>9</v>
      </c>
      <c r="B11" s="81" t="s">
        <v>234</v>
      </c>
      <c r="C11" s="81">
        <v>145</v>
      </c>
      <c r="D11" s="81" t="str">
        <f t="shared" si="0"/>
        <v>Продолжается</v>
      </c>
      <c r="E11" s="85"/>
      <c r="F11" s="80">
        <v>9</v>
      </c>
      <c r="G11" s="81" t="s">
        <v>236</v>
      </c>
      <c r="H11" s="81">
        <v>160</v>
      </c>
      <c r="I11" s="81" t="str">
        <f t="shared" si="1"/>
        <v>Новый</v>
      </c>
      <c r="J11" s="85"/>
    </row>
    <row r="12" spans="1:13">
      <c r="A12" s="80">
        <v>10</v>
      </c>
      <c r="B12" s="81" t="s">
        <v>235</v>
      </c>
      <c r="C12" s="81">
        <v>180</v>
      </c>
      <c r="D12" s="81" t="str">
        <f t="shared" si="0"/>
        <v>Продолжается</v>
      </c>
      <c r="F12" s="80">
        <v>10</v>
      </c>
      <c r="G12" s="81" t="s">
        <v>237</v>
      </c>
      <c r="H12" s="81">
        <v>135</v>
      </c>
      <c r="I12" s="81" t="str">
        <f t="shared" si="1"/>
        <v>Новый</v>
      </c>
    </row>
    <row r="13" spans="1:13">
      <c r="A13" s="80">
        <v>11</v>
      </c>
      <c r="B13" s="81" t="s">
        <v>238</v>
      </c>
      <c r="C13" s="81">
        <v>200</v>
      </c>
      <c r="D13" s="81" t="str">
        <f t="shared" si="0"/>
        <v>Завершен</v>
      </c>
      <c r="F13" s="80">
        <v>11</v>
      </c>
      <c r="G13" s="81" t="s">
        <v>239</v>
      </c>
      <c r="H13" s="81">
        <v>130</v>
      </c>
      <c r="I13" s="81" t="str">
        <f t="shared" si="1"/>
        <v>Продолжается</v>
      </c>
    </row>
    <row r="14" spans="1:13">
      <c r="A14" s="80">
        <v>12</v>
      </c>
      <c r="B14" s="81" t="s">
        <v>239</v>
      </c>
      <c r="C14" s="81">
        <v>130</v>
      </c>
      <c r="D14" s="81" t="str">
        <f t="shared" si="0"/>
        <v>Продолжается</v>
      </c>
      <c r="F14" s="80">
        <v>12</v>
      </c>
      <c r="G14" s="81" t="s">
        <v>240</v>
      </c>
      <c r="H14" s="81">
        <v>145</v>
      </c>
      <c r="I14" s="81" t="str">
        <f t="shared" si="1"/>
        <v>Новый</v>
      </c>
    </row>
    <row r="15" spans="1:13">
      <c r="A15" s="80">
        <v>13</v>
      </c>
      <c r="B15" s="81" t="s">
        <v>241</v>
      </c>
      <c r="C15" s="81">
        <v>100</v>
      </c>
      <c r="D15" s="81" t="str">
        <f t="shared" si="0"/>
        <v>Завершен</v>
      </c>
      <c r="F15" s="80">
        <v>13</v>
      </c>
      <c r="G15" s="81" t="s">
        <v>242</v>
      </c>
      <c r="H15" s="81">
        <v>140</v>
      </c>
      <c r="I15" s="81" t="str">
        <f t="shared" si="1"/>
        <v>Продолжается</v>
      </c>
    </row>
    <row r="16" spans="1:13">
      <c r="A16" s="80">
        <v>14</v>
      </c>
      <c r="B16" s="81" t="s">
        <v>242</v>
      </c>
      <c r="C16" s="81">
        <v>140</v>
      </c>
      <c r="D16" s="81" t="str">
        <f t="shared" si="0"/>
        <v>Продолжается</v>
      </c>
      <c r="F16" s="80">
        <v>14</v>
      </c>
      <c r="G16" s="81" t="s">
        <v>243</v>
      </c>
      <c r="H16" s="81">
        <v>170</v>
      </c>
      <c r="I16" s="81" t="str">
        <f t="shared" si="1"/>
        <v>Продолжается</v>
      </c>
    </row>
    <row r="17" spans="1:9">
      <c r="A17" s="80">
        <v>15</v>
      </c>
      <c r="B17" s="81" t="s">
        <v>243</v>
      </c>
      <c r="C17" s="81">
        <v>170</v>
      </c>
      <c r="D17" s="81" t="str">
        <f t="shared" si="0"/>
        <v>Продолжается</v>
      </c>
      <c r="F17" s="80">
        <v>15</v>
      </c>
      <c r="G17" s="81" t="s">
        <v>244</v>
      </c>
      <c r="H17" s="81">
        <v>80</v>
      </c>
      <c r="I17" s="81" t="str">
        <f t="shared" si="1"/>
        <v>Продолжается</v>
      </c>
    </row>
    <row r="18" spans="1:9">
      <c r="A18" s="80">
        <v>16</v>
      </c>
      <c r="B18" s="81" t="s">
        <v>244</v>
      </c>
      <c r="C18" s="81">
        <v>80</v>
      </c>
      <c r="D18" s="81" t="str">
        <f t="shared" si="0"/>
        <v>Продолжается</v>
      </c>
      <c r="F18" s="80">
        <v>16</v>
      </c>
      <c r="G18" s="81" t="s">
        <v>245</v>
      </c>
      <c r="H18" s="81">
        <v>130</v>
      </c>
      <c r="I18" s="81" t="str">
        <f t="shared" si="1"/>
        <v>Новый</v>
      </c>
    </row>
    <row r="19" spans="1:9">
      <c r="A19" s="80">
        <v>17</v>
      </c>
      <c r="B19" s="81" t="s">
        <v>246</v>
      </c>
      <c r="C19" s="81">
        <v>170</v>
      </c>
      <c r="D19" s="81" t="str">
        <f t="shared" si="0"/>
        <v>Продолжается</v>
      </c>
      <c r="F19" s="80">
        <v>17</v>
      </c>
      <c r="G19" s="81" t="s">
        <v>246</v>
      </c>
      <c r="H19" s="81">
        <v>170</v>
      </c>
      <c r="I19" s="81" t="str">
        <f t="shared" si="1"/>
        <v>Продолжается</v>
      </c>
    </row>
    <row r="20" spans="1:9">
      <c r="A20" s="80">
        <v>18</v>
      </c>
      <c r="B20" s="81" t="s">
        <v>247</v>
      </c>
      <c r="C20" s="81">
        <v>160</v>
      </c>
      <c r="D20" s="81" t="str">
        <f t="shared" si="0"/>
        <v>Продолжается</v>
      </c>
      <c r="F20" s="80">
        <v>18</v>
      </c>
      <c r="G20" s="81" t="s">
        <v>247</v>
      </c>
      <c r="H20" s="81">
        <v>160</v>
      </c>
      <c r="I20" s="81" t="str">
        <f t="shared" si="1"/>
        <v>Продолжается</v>
      </c>
    </row>
    <row r="21" spans="1:9">
      <c r="A21" s="80">
        <v>19</v>
      </c>
      <c r="B21" s="81" t="s">
        <v>248</v>
      </c>
      <c r="C21" s="81">
        <v>145</v>
      </c>
      <c r="D21" s="81" t="str">
        <f t="shared" si="0"/>
        <v>Завершен</v>
      </c>
      <c r="F21" s="80">
        <v>19</v>
      </c>
      <c r="G21" s="81" t="s">
        <v>249</v>
      </c>
      <c r="H21" s="81">
        <v>150</v>
      </c>
      <c r="I21" s="81" t="str">
        <f t="shared" si="1"/>
        <v>Новый</v>
      </c>
    </row>
    <row r="22" spans="1:9">
      <c r="A22" s="80">
        <v>20</v>
      </c>
      <c r="B22" s="81" t="s">
        <v>250</v>
      </c>
      <c r="C22" s="81">
        <v>160</v>
      </c>
      <c r="D22" s="81" t="str">
        <f t="shared" si="0"/>
        <v>Продолжается</v>
      </c>
      <c r="F22" s="80">
        <v>20</v>
      </c>
      <c r="G22" s="81" t="s">
        <v>250</v>
      </c>
      <c r="H22" s="81">
        <v>160</v>
      </c>
      <c r="I22" s="81" t="str">
        <f t="shared" si="1"/>
        <v>Продолжается</v>
      </c>
    </row>
    <row r="23" spans="1:9">
      <c r="A23" s="80">
        <v>21</v>
      </c>
      <c r="B23" s="81" t="s">
        <v>251</v>
      </c>
      <c r="C23" s="81">
        <v>140</v>
      </c>
      <c r="D23" s="81" t="str">
        <f t="shared" si="0"/>
        <v>Продолжается</v>
      </c>
      <c r="F23" s="80">
        <v>21</v>
      </c>
      <c r="G23" s="81" t="s">
        <v>251</v>
      </c>
      <c r="H23" s="81">
        <v>140</v>
      </c>
      <c r="I23" s="81" t="str">
        <f t="shared" si="1"/>
        <v>Продолжается</v>
      </c>
    </row>
    <row r="24" spans="1:9">
      <c r="A24" s="80">
        <v>22</v>
      </c>
      <c r="B24" s="81" t="s">
        <v>252</v>
      </c>
      <c r="C24" s="81">
        <v>135</v>
      </c>
      <c r="D24" s="81" t="str">
        <f t="shared" si="0"/>
        <v>Продолжается</v>
      </c>
      <c r="F24" s="80">
        <v>22</v>
      </c>
      <c r="G24" s="81" t="s">
        <v>252</v>
      </c>
      <c r="H24" s="81">
        <v>135</v>
      </c>
      <c r="I24" s="81" t="str">
        <f t="shared" si="1"/>
        <v>Продолжается</v>
      </c>
    </row>
    <row r="25" spans="1:9">
      <c r="A25" s="80">
        <v>23</v>
      </c>
      <c r="B25" s="81" t="s">
        <v>253</v>
      </c>
      <c r="C25" s="81">
        <v>145</v>
      </c>
      <c r="D25" s="81" t="str">
        <f t="shared" si="0"/>
        <v>Завершен</v>
      </c>
      <c r="F25" s="80">
        <v>23</v>
      </c>
      <c r="G25" s="81" t="s">
        <v>254</v>
      </c>
      <c r="H25" s="81">
        <v>150</v>
      </c>
      <c r="I25" s="81" t="str">
        <f t="shared" si="1"/>
        <v>Новый</v>
      </c>
    </row>
    <row r="26" spans="1:9">
      <c r="A26" s="80">
        <v>24</v>
      </c>
      <c r="B26" s="81" t="s">
        <v>255</v>
      </c>
      <c r="C26" s="81">
        <v>165</v>
      </c>
      <c r="D26" s="81" t="str">
        <f t="shared" si="0"/>
        <v>Продолжается</v>
      </c>
      <c r="F26" s="80">
        <v>24</v>
      </c>
      <c r="G26" s="81" t="s">
        <v>256</v>
      </c>
      <c r="H26" s="81">
        <v>180</v>
      </c>
      <c r="I26" s="81" t="str">
        <f t="shared" si="1"/>
        <v>Новый</v>
      </c>
    </row>
    <row r="27" spans="1:9">
      <c r="A27" s="80">
        <v>25</v>
      </c>
      <c r="B27" s="81" t="s">
        <v>257</v>
      </c>
      <c r="C27" s="81">
        <v>200</v>
      </c>
      <c r="D27" s="81" t="str">
        <f t="shared" si="0"/>
        <v>Продолжается</v>
      </c>
      <c r="F27" s="80">
        <v>25</v>
      </c>
      <c r="G27" s="81" t="s">
        <v>255</v>
      </c>
      <c r="H27" s="81">
        <v>165</v>
      </c>
      <c r="I27" s="81" t="str">
        <f t="shared" si="1"/>
        <v>Продолжается</v>
      </c>
    </row>
    <row r="28" spans="1:9">
      <c r="A28" s="80">
        <v>26</v>
      </c>
      <c r="B28" s="81" t="s">
        <v>258</v>
      </c>
      <c r="C28" s="81">
        <v>250</v>
      </c>
      <c r="D28" s="81" t="str">
        <f t="shared" si="0"/>
        <v>Завершен</v>
      </c>
      <c r="F28" s="80">
        <v>26</v>
      </c>
      <c r="G28" s="81" t="s">
        <v>257</v>
      </c>
      <c r="H28" s="81">
        <v>200</v>
      </c>
      <c r="I28" s="81" t="str">
        <f t="shared" si="1"/>
        <v>Продолжается</v>
      </c>
    </row>
    <row r="29" spans="1:9">
      <c r="A29" s="80">
        <v>27</v>
      </c>
      <c r="B29" s="81" t="s">
        <v>259</v>
      </c>
      <c r="C29" s="81">
        <v>220</v>
      </c>
      <c r="D29" s="81" t="str">
        <f t="shared" si="0"/>
        <v>Продолжается</v>
      </c>
      <c r="F29" s="80">
        <v>27</v>
      </c>
      <c r="G29" s="81" t="s">
        <v>259</v>
      </c>
      <c r="H29" s="81">
        <v>220</v>
      </c>
      <c r="I29" s="81" t="str">
        <f t="shared" si="1"/>
        <v>Продолжается</v>
      </c>
    </row>
    <row r="30" spans="1:9">
      <c r="A30" s="80">
        <v>28</v>
      </c>
      <c r="B30" s="81" t="s">
        <v>260</v>
      </c>
      <c r="C30" s="81">
        <v>200</v>
      </c>
      <c r="D30" s="81" t="str">
        <f t="shared" si="0"/>
        <v>Продолжается</v>
      </c>
      <c r="F30" s="80">
        <v>28</v>
      </c>
      <c r="G30" s="81" t="s">
        <v>260</v>
      </c>
      <c r="H30" s="81">
        <v>200</v>
      </c>
      <c r="I30" s="81" t="str">
        <f t="shared" si="1"/>
        <v>Продолжается</v>
      </c>
    </row>
    <row r="31" spans="1:9">
      <c r="A31" s="80">
        <v>29</v>
      </c>
      <c r="B31" s="81" t="s">
        <v>261</v>
      </c>
      <c r="C31" s="81">
        <v>160</v>
      </c>
      <c r="D31" s="81" t="str">
        <f t="shared" si="0"/>
        <v>Продолжается</v>
      </c>
      <c r="F31" s="80">
        <v>29</v>
      </c>
      <c r="G31" s="81" t="s">
        <v>261</v>
      </c>
      <c r="H31" s="81">
        <v>160</v>
      </c>
      <c r="I31" s="81" t="str">
        <f t="shared" si="1"/>
        <v>Продолжается</v>
      </c>
    </row>
    <row r="32" spans="1:9">
      <c r="A32" s="80">
        <v>30</v>
      </c>
      <c r="B32" s="81" t="s">
        <v>262</v>
      </c>
      <c r="C32" s="81">
        <v>160</v>
      </c>
      <c r="D32" s="81" t="str">
        <f t="shared" si="0"/>
        <v>Продолжается</v>
      </c>
      <c r="F32" s="80">
        <v>30</v>
      </c>
      <c r="G32" s="81" t="s">
        <v>262</v>
      </c>
      <c r="H32" s="81">
        <v>160</v>
      </c>
      <c r="I32" s="81" t="str">
        <f t="shared" si="1"/>
        <v>Продолжается</v>
      </c>
    </row>
    <row r="33" spans="1:9">
      <c r="A33" s="80">
        <v>31</v>
      </c>
      <c r="B33" s="81" t="s">
        <v>263</v>
      </c>
      <c r="C33" s="81">
        <v>175</v>
      </c>
      <c r="D33" s="81" t="str">
        <f t="shared" si="0"/>
        <v>Продолжается</v>
      </c>
      <c r="F33" s="80">
        <v>31</v>
      </c>
      <c r="G33" s="81" t="s">
        <v>263</v>
      </c>
      <c r="H33" s="81">
        <v>175</v>
      </c>
      <c r="I33" s="81" t="str">
        <f t="shared" si="1"/>
        <v>Продолжается</v>
      </c>
    </row>
    <row r="34" spans="1:9">
      <c r="A34" s="80">
        <v>32</v>
      </c>
      <c r="B34" s="81" t="s">
        <v>264</v>
      </c>
      <c r="C34" s="81">
        <v>180</v>
      </c>
      <c r="D34" s="81" t="str">
        <f t="shared" si="0"/>
        <v>Продолжается</v>
      </c>
      <c r="F34" s="80">
        <v>32</v>
      </c>
      <c r="G34" s="81" t="s">
        <v>265</v>
      </c>
      <c r="H34" s="81">
        <v>180</v>
      </c>
      <c r="I34" s="81" t="str">
        <f t="shared" si="1"/>
        <v>Новый</v>
      </c>
    </row>
    <row r="35" spans="1:9">
      <c r="A35" s="80">
        <v>33</v>
      </c>
      <c r="B35" s="81" t="s">
        <v>266</v>
      </c>
      <c r="C35" s="81">
        <v>150</v>
      </c>
      <c r="D35" s="81" t="str">
        <f t="shared" si="0"/>
        <v>Продолжается</v>
      </c>
      <c r="F35" s="80">
        <v>33</v>
      </c>
      <c r="G35" s="81" t="s">
        <v>264</v>
      </c>
      <c r="H35" s="81">
        <v>180</v>
      </c>
      <c r="I35" s="81" t="str">
        <f t="shared" si="1"/>
        <v>Продолжается</v>
      </c>
    </row>
    <row r="36" spans="1:9">
      <c r="A36" s="80">
        <v>34</v>
      </c>
      <c r="B36" s="81" t="s">
        <v>267</v>
      </c>
      <c r="C36" s="81">
        <v>120</v>
      </c>
      <c r="D36" s="81" t="str">
        <f t="shared" si="0"/>
        <v>Завершен</v>
      </c>
      <c r="F36" s="80">
        <v>34</v>
      </c>
      <c r="G36" s="81" t="s">
        <v>266</v>
      </c>
      <c r="H36" s="81">
        <v>150</v>
      </c>
      <c r="I36" s="81" t="str">
        <f t="shared" si="1"/>
        <v>Продолжается</v>
      </c>
    </row>
    <row r="37" spans="1:9">
      <c r="A37" s="80">
        <v>35</v>
      </c>
      <c r="B37" s="81" t="s">
        <v>268</v>
      </c>
      <c r="C37" s="81">
        <v>250</v>
      </c>
      <c r="D37" s="81" t="str">
        <f t="shared" si="0"/>
        <v>Продолжается</v>
      </c>
      <c r="F37" s="80">
        <v>35</v>
      </c>
      <c r="G37" s="81" t="s">
        <v>269</v>
      </c>
      <c r="H37" s="81">
        <v>180</v>
      </c>
      <c r="I37" s="81" t="str">
        <f t="shared" si="1"/>
        <v>Новый</v>
      </c>
    </row>
    <row r="38" spans="1:9">
      <c r="A38" s="80">
        <v>36</v>
      </c>
      <c r="B38" s="81" t="s">
        <v>270</v>
      </c>
      <c r="C38" s="81">
        <v>145</v>
      </c>
      <c r="D38" s="81" t="str">
        <f t="shared" si="0"/>
        <v>Продолжается</v>
      </c>
      <c r="F38" s="80">
        <v>36</v>
      </c>
      <c r="G38" s="81" t="s">
        <v>268</v>
      </c>
      <c r="H38" s="81">
        <v>250</v>
      </c>
      <c r="I38" s="81" t="str">
        <f t="shared" si="1"/>
        <v>Продолжается</v>
      </c>
    </row>
    <row r="39" spans="1:9">
      <c r="A39" s="80">
        <v>37</v>
      </c>
      <c r="B39" s="81" t="s">
        <v>271</v>
      </c>
      <c r="C39" s="81">
        <v>100</v>
      </c>
      <c r="D39" s="81" t="str">
        <f t="shared" si="0"/>
        <v>Продолжается</v>
      </c>
      <c r="F39" s="80">
        <v>37</v>
      </c>
      <c r="G39" s="81" t="s">
        <v>272</v>
      </c>
      <c r="H39" s="81">
        <v>190</v>
      </c>
      <c r="I39" s="81" t="str">
        <f t="shared" si="1"/>
        <v>Новый</v>
      </c>
    </row>
    <row r="40" spans="1:9">
      <c r="A40" s="80">
        <v>38</v>
      </c>
      <c r="B40" s="81" t="s">
        <v>273</v>
      </c>
      <c r="C40" s="81">
        <v>100</v>
      </c>
      <c r="D40" s="81" t="str">
        <f t="shared" si="0"/>
        <v>Продолжается</v>
      </c>
      <c r="F40" s="80">
        <v>38</v>
      </c>
      <c r="G40" s="81" t="s">
        <v>270</v>
      </c>
      <c r="H40" s="81">
        <v>145</v>
      </c>
      <c r="I40" s="81" t="str">
        <f t="shared" si="1"/>
        <v>Продолжается</v>
      </c>
    </row>
    <row r="41" spans="1:9">
      <c r="A41" s="80">
        <v>39</v>
      </c>
      <c r="B41" s="81" t="s">
        <v>274</v>
      </c>
      <c r="C41" s="81">
        <v>125</v>
      </c>
      <c r="D41" s="81" t="str">
        <f t="shared" si="0"/>
        <v>Продолжается</v>
      </c>
      <c r="F41" s="80">
        <v>39</v>
      </c>
      <c r="G41" s="81" t="s">
        <v>275</v>
      </c>
      <c r="H41" s="81">
        <v>155</v>
      </c>
      <c r="I41" s="81" t="str">
        <f t="shared" si="1"/>
        <v>Новый</v>
      </c>
    </row>
    <row r="42" spans="1:9">
      <c r="A42" s="80">
        <v>40</v>
      </c>
      <c r="B42" s="81" t="s">
        <v>276</v>
      </c>
      <c r="C42" s="81">
        <v>180</v>
      </c>
      <c r="D42" s="81" t="str">
        <f t="shared" si="0"/>
        <v>Завершен</v>
      </c>
      <c r="F42" s="80">
        <v>40</v>
      </c>
      <c r="G42" s="81" t="s">
        <v>277</v>
      </c>
      <c r="H42" s="81">
        <v>300</v>
      </c>
      <c r="I42" s="81" t="str">
        <f t="shared" si="1"/>
        <v>Новый</v>
      </c>
    </row>
    <row r="43" spans="1:9">
      <c r="A43" s="80">
        <v>41</v>
      </c>
      <c r="B43" s="81" t="s">
        <v>278</v>
      </c>
      <c r="C43" s="81">
        <v>150</v>
      </c>
      <c r="D43" s="81" t="str">
        <f t="shared" si="0"/>
        <v>Продолжается</v>
      </c>
      <c r="F43" s="80">
        <v>41</v>
      </c>
      <c r="G43" s="81" t="s">
        <v>271</v>
      </c>
      <c r="H43" s="81">
        <v>100</v>
      </c>
      <c r="I43" s="81" t="str">
        <f t="shared" si="1"/>
        <v>Продолжается</v>
      </c>
    </row>
    <row r="44" spans="1:9">
      <c r="A44" s="80">
        <v>42</v>
      </c>
      <c r="B44" s="81" t="s">
        <v>279</v>
      </c>
      <c r="C44" s="81">
        <v>185</v>
      </c>
      <c r="D44" s="81" t="str">
        <f t="shared" si="0"/>
        <v>Продолжается</v>
      </c>
      <c r="F44" s="80">
        <v>42</v>
      </c>
      <c r="G44" s="81" t="s">
        <v>273</v>
      </c>
      <c r="H44" s="81">
        <v>100</v>
      </c>
      <c r="I44" s="81" t="str">
        <f t="shared" si="1"/>
        <v>Продолжается</v>
      </c>
    </row>
    <row r="45" spans="1:9">
      <c r="A45" s="80">
        <v>43</v>
      </c>
      <c r="B45" s="81" t="s">
        <v>280</v>
      </c>
      <c r="C45" s="81">
        <v>125</v>
      </c>
      <c r="D45" s="81" t="str">
        <f t="shared" si="0"/>
        <v>Продолжается</v>
      </c>
      <c r="F45" s="80">
        <v>43</v>
      </c>
      <c r="G45" s="81" t="s">
        <v>281</v>
      </c>
      <c r="H45" s="81">
        <v>165</v>
      </c>
      <c r="I45" s="81" t="str">
        <f t="shared" si="1"/>
        <v>Новый</v>
      </c>
    </row>
    <row r="46" spans="1:9">
      <c r="A46" s="80">
        <v>44</v>
      </c>
      <c r="B46" s="81" t="s">
        <v>282</v>
      </c>
      <c r="C46" s="81">
        <v>155</v>
      </c>
      <c r="D46" s="81" t="str">
        <f t="shared" si="0"/>
        <v>Продолжается</v>
      </c>
      <c r="F46" s="80">
        <v>44</v>
      </c>
      <c r="G46" s="81" t="s">
        <v>274</v>
      </c>
      <c r="H46" s="81">
        <v>125</v>
      </c>
      <c r="I46" s="81" t="str">
        <f t="shared" si="1"/>
        <v>Продолжается</v>
      </c>
    </row>
    <row r="47" spans="1:9">
      <c r="A47" s="80">
        <v>45</v>
      </c>
      <c r="B47" s="81" t="s">
        <v>283</v>
      </c>
      <c r="C47" s="81">
        <v>145</v>
      </c>
      <c r="D47" s="81" t="str">
        <f t="shared" si="0"/>
        <v>Продолжается</v>
      </c>
      <c r="F47" s="80">
        <v>45</v>
      </c>
      <c r="G47" s="81" t="s">
        <v>284</v>
      </c>
      <c r="H47" s="81">
        <v>140</v>
      </c>
      <c r="I47" s="81" t="str">
        <f t="shared" si="1"/>
        <v>Новый</v>
      </c>
    </row>
    <row r="48" spans="1:9">
      <c r="A48" s="80">
        <v>46</v>
      </c>
      <c r="B48" s="81" t="s">
        <v>285</v>
      </c>
      <c r="C48" s="81">
        <v>135</v>
      </c>
      <c r="D48" s="81" t="str">
        <f t="shared" si="0"/>
        <v>Продолжается</v>
      </c>
      <c r="F48" s="80">
        <v>46</v>
      </c>
      <c r="G48" s="81" t="s">
        <v>278</v>
      </c>
      <c r="H48" s="81">
        <v>150</v>
      </c>
      <c r="I48" s="81" t="str">
        <f t="shared" si="1"/>
        <v>Продолжается</v>
      </c>
    </row>
    <row r="49" spans="1:9">
      <c r="A49" s="80">
        <v>47</v>
      </c>
      <c r="B49" s="81" t="s">
        <v>286</v>
      </c>
      <c r="C49" s="81">
        <v>125</v>
      </c>
      <c r="D49" s="81" t="str">
        <f t="shared" si="0"/>
        <v>Продолжается</v>
      </c>
      <c r="F49" s="80">
        <v>47</v>
      </c>
      <c r="G49" s="81" t="s">
        <v>279</v>
      </c>
      <c r="H49" s="81">
        <v>185</v>
      </c>
      <c r="I49" s="81" t="str">
        <f t="shared" si="1"/>
        <v>Продолжается</v>
      </c>
    </row>
    <row r="50" spans="1:9">
      <c r="A50" s="80">
        <v>48</v>
      </c>
      <c r="B50" s="81" t="s">
        <v>287</v>
      </c>
      <c r="C50" s="81">
        <v>130</v>
      </c>
      <c r="D50" s="81" t="str">
        <f t="shared" si="0"/>
        <v>Продолжается</v>
      </c>
      <c r="F50" s="80">
        <v>48</v>
      </c>
      <c r="G50" s="81" t="s">
        <v>280</v>
      </c>
      <c r="H50" s="81">
        <v>125</v>
      </c>
      <c r="I50" s="81" t="str">
        <f t="shared" si="1"/>
        <v>Продолжается</v>
      </c>
    </row>
    <row r="51" spans="1:9">
      <c r="A51" s="80">
        <v>49</v>
      </c>
      <c r="B51" s="81" t="s">
        <v>288</v>
      </c>
      <c r="C51" s="81">
        <v>140</v>
      </c>
      <c r="D51" s="81" t="str">
        <f t="shared" si="0"/>
        <v>Продолжается</v>
      </c>
      <c r="F51" s="80">
        <v>49</v>
      </c>
      <c r="G51" s="81" t="s">
        <v>282</v>
      </c>
      <c r="H51" s="81">
        <v>155</v>
      </c>
      <c r="I51" s="81" t="str">
        <f t="shared" si="1"/>
        <v>Продолжается</v>
      </c>
    </row>
    <row r="52" spans="1:9">
      <c r="A52" s="80">
        <v>50</v>
      </c>
      <c r="B52" s="81" t="s">
        <v>289</v>
      </c>
      <c r="C52" s="81">
        <v>155</v>
      </c>
      <c r="D52" s="81" t="str">
        <f t="shared" si="0"/>
        <v>Продолжается</v>
      </c>
      <c r="F52" s="80">
        <v>50</v>
      </c>
      <c r="G52" s="81" t="s">
        <v>283</v>
      </c>
      <c r="H52" s="81">
        <v>145</v>
      </c>
      <c r="I52" s="81" t="str">
        <f t="shared" si="1"/>
        <v>Продолжается</v>
      </c>
    </row>
    <row r="53" spans="1:9">
      <c r="A53" s="80">
        <v>51</v>
      </c>
      <c r="B53" s="81" t="s">
        <v>290</v>
      </c>
      <c r="C53" s="81">
        <v>125</v>
      </c>
      <c r="D53" s="81" t="str">
        <f t="shared" si="0"/>
        <v>Продолжается</v>
      </c>
      <c r="F53" s="80">
        <v>51</v>
      </c>
      <c r="G53" s="81" t="s">
        <v>285</v>
      </c>
      <c r="H53" s="81">
        <v>135</v>
      </c>
      <c r="I53" s="81" t="str">
        <f t="shared" si="1"/>
        <v>Продолжается</v>
      </c>
    </row>
    <row r="54" spans="1:9">
      <c r="A54" s="80">
        <v>52</v>
      </c>
      <c r="B54" s="81" t="s">
        <v>291</v>
      </c>
      <c r="C54" s="81">
        <v>180</v>
      </c>
      <c r="D54" s="81" t="str">
        <f t="shared" si="0"/>
        <v>Продолжается</v>
      </c>
      <c r="F54" s="80">
        <v>52</v>
      </c>
      <c r="G54" s="81" t="s">
        <v>292</v>
      </c>
      <c r="H54" s="81">
        <v>200</v>
      </c>
      <c r="I54" s="81" t="str">
        <f t="shared" si="1"/>
        <v>Новый</v>
      </c>
    </row>
    <row r="55" spans="1:9">
      <c r="A55" s="80">
        <v>53</v>
      </c>
      <c r="B55" s="81" t="s">
        <v>293</v>
      </c>
      <c r="C55" s="81">
        <v>145</v>
      </c>
      <c r="D55" s="81" t="str">
        <f t="shared" si="0"/>
        <v>Продолжается</v>
      </c>
      <c r="F55" s="80">
        <v>53</v>
      </c>
      <c r="G55" s="81" t="s">
        <v>286</v>
      </c>
      <c r="H55" s="81">
        <v>125</v>
      </c>
      <c r="I55" s="81" t="str">
        <f t="shared" si="1"/>
        <v>Продолжается</v>
      </c>
    </row>
    <row r="56" spans="1:9">
      <c r="A56" s="80">
        <v>54</v>
      </c>
      <c r="B56" s="81" t="s">
        <v>294</v>
      </c>
      <c r="C56" s="81">
        <v>180</v>
      </c>
      <c r="D56" s="81" t="str">
        <f t="shared" si="0"/>
        <v>Продолжается</v>
      </c>
      <c r="F56" s="80">
        <v>54</v>
      </c>
      <c r="G56" s="81" t="s">
        <v>287</v>
      </c>
      <c r="H56" s="81">
        <v>130</v>
      </c>
      <c r="I56" s="81" t="str">
        <f t="shared" si="1"/>
        <v>Продолжается</v>
      </c>
    </row>
    <row r="57" spans="1:9">
      <c r="A57" s="80">
        <v>55</v>
      </c>
      <c r="B57" s="81" t="s">
        <v>295</v>
      </c>
      <c r="C57" s="81">
        <v>180</v>
      </c>
      <c r="D57" s="81" t="str">
        <f t="shared" si="0"/>
        <v>Продолжается</v>
      </c>
      <c r="F57" s="80">
        <v>55</v>
      </c>
      <c r="G57" s="81" t="s">
        <v>288</v>
      </c>
      <c r="H57" s="81">
        <v>140</v>
      </c>
      <c r="I57" s="81" t="str">
        <f t="shared" si="1"/>
        <v>Продолжается</v>
      </c>
    </row>
    <row r="58" spans="1:9">
      <c r="A58" s="80">
        <v>56</v>
      </c>
      <c r="B58" s="81" t="s">
        <v>296</v>
      </c>
      <c r="C58" s="81">
        <v>140</v>
      </c>
      <c r="D58" s="81" t="str">
        <f t="shared" si="0"/>
        <v>Продолжается</v>
      </c>
      <c r="F58" s="80">
        <v>56</v>
      </c>
      <c r="G58" s="81" t="s">
        <v>289</v>
      </c>
      <c r="H58" s="81">
        <v>155</v>
      </c>
      <c r="I58" s="81" t="str">
        <f t="shared" si="1"/>
        <v>Продолжается</v>
      </c>
    </row>
    <row r="59" spans="1:9">
      <c r="A59" s="80">
        <v>57</v>
      </c>
      <c r="B59" s="81" t="s">
        <v>297</v>
      </c>
      <c r="C59" s="81">
        <v>200</v>
      </c>
      <c r="D59" s="81" t="str">
        <f t="shared" si="0"/>
        <v>Продолжается</v>
      </c>
      <c r="F59" s="80">
        <v>57</v>
      </c>
      <c r="G59" s="81" t="s">
        <v>290</v>
      </c>
      <c r="H59" s="81">
        <v>125</v>
      </c>
      <c r="I59" s="81" t="str">
        <f t="shared" si="1"/>
        <v>Продолжается</v>
      </c>
    </row>
    <row r="60" spans="1:9">
      <c r="A60" s="80">
        <v>58</v>
      </c>
      <c r="B60" s="81" t="s">
        <v>298</v>
      </c>
      <c r="C60" s="81">
        <v>190</v>
      </c>
      <c r="D60" s="81" t="str">
        <f t="shared" si="0"/>
        <v>Продолжается</v>
      </c>
      <c r="F60" s="80">
        <v>58</v>
      </c>
      <c r="G60" s="81" t="s">
        <v>291</v>
      </c>
      <c r="H60" s="81">
        <v>180</v>
      </c>
      <c r="I60" s="81" t="str">
        <f t="shared" si="1"/>
        <v>Продолжается</v>
      </c>
    </row>
    <row r="61" spans="1:9">
      <c r="A61" s="80">
        <v>59</v>
      </c>
      <c r="B61" s="81" t="s">
        <v>299</v>
      </c>
      <c r="C61" s="81">
        <v>150</v>
      </c>
      <c r="D61" s="81" t="str">
        <f t="shared" si="0"/>
        <v>Продолжается</v>
      </c>
      <c r="F61" s="80">
        <v>59</v>
      </c>
      <c r="G61" s="81" t="s">
        <v>293</v>
      </c>
      <c r="H61" s="81">
        <v>145</v>
      </c>
      <c r="I61" s="81" t="str">
        <f t="shared" si="1"/>
        <v>Продолжается</v>
      </c>
    </row>
    <row r="62" spans="1:9">
      <c r="A62" s="80">
        <v>60</v>
      </c>
      <c r="B62" s="81" t="s">
        <v>300</v>
      </c>
      <c r="C62" s="81">
        <v>160</v>
      </c>
      <c r="D62" s="81" t="str">
        <f t="shared" si="0"/>
        <v>Продолжается</v>
      </c>
      <c r="F62" s="80">
        <v>60</v>
      </c>
      <c r="G62" s="81" t="s">
        <v>294</v>
      </c>
      <c r="H62" s="81">
        <v>180</v>
      </c>
      <c r="I62" s="81" t="str">
        <f t="shared" si="1"/>
        <v>Продолжается</v>
      </c>
    </row>
    <row r="63" spans="1:9">
      <c r="A63" s="4"/>
      <c r="B63" s="4"/>
      <c r="C63" s="4"/>
      <c r="F63" s="80">
        <v>61</v>
      </c>
      <c r="G63" s="81" t="s">
        <v>295</v>
      </c>
      <c r="H63" s="81">
        <v>180</v>
      </c>
      <c r="I63" s="81" t="str">
        <f t="shared" si="1"/>
        <v>Продолжается</v>
      </c>
    </row>
    <row r="64" spans="1:9">
      <c r="A64" s="4"/>
      <c r="B64" s="4"/>
      <c r="C64" s="4"/>
      <c r="F64" s="80">
        <v>62</v>
      </c>
      <c r="G64" s="81" t="s">
        <v>296</v>
      </c>
      <c r="H64" s="81">
        <v>140</v>
      </c>
      <c r="I64" s="81" t="str">
        <f t="shared" si="1"/>
        <v>Продолжается</v>
      </c>
    </row>
    <row r="65" spans="1:9">
      <c r="A65" s="4"/>
      <c r="B65" s="4"/>
      <c r="C65" s="4"/>
      <c r="F65" s="80">
        <v>63</v>
      </c>
      <c r="G65" s="81" t="s">
        <v>301</v>
      </c>
      <c r="H65" s="81">
        <v>150</v>
      </c>
      <c r="I65" s="81" t="str">
        <f t="shared" si="1"/>
        <v>Новый</v>
      </c>
    </row>
    <row r="66" spans="1:9">
      <c r="A66" s="4"/>
      <c r="B66" s="4"/>
      <c r="C66" s="4"/>
      <c r="F66" s="80">
        <v>64</v>
      </c>
      <c r="G66" s="81" t="s">
        <v>297</v>
      </c>
      <c r="H66" s="81">
        <v>200</v>
      </c>
      <c r="I66" s="81" t="str">
        <f t="shared" si="1"/>
        <v>Продолжается</v>
      </c>
    </row>
    <row r="67" spans="1:9">
      <c r="A67" s="4"/>
      <c r="B67" s="4"/>
      <c r="C67" s="4"/>
      <c r="F67" s="80">
        <v>65</v>
      </c>
      <c r="G67" s="81" t="s">
        <v>302</v>
      </c>
      <c r="H67" s="81">
        <v>160</v>
      </c>
      <c r="I67" s="81" t="str">
        <f t="shared" si="1"/>
        <v>Новый</v>
      </c>
    </row>
    <row r="68" spans="1:9">
      <c r="A68" s="4"/>
      <c r="B68" s="4"/>
      <c r="C68" s="4"/>
      <c r="F68" s="80">
        <v>66</v>
      </c>
      <c r="G68" s="81" t="s">
        <v>298</v>
      </c>
      <c r="H68" s="81">
        <v>190</v>
      </c>
      <c r="I68" s="81" t="str">
        <f t="shared" ref="I68:I72" si="2">IF(COUNTIF($B$3:$B$62,G68)&gt;0, "Продолжается","Новый")</f>
        <v>Продолжается</v>
      </c>
    </row>
    <row r="69" spans="1:9">
      <c r="A69" s="4"/>
      <c r="B69" s="4"/>
      <c r="C69" s="4"/>
      <c r="F69" s="80">
        <v>67</v>
      </c>
      <c r="G69" s="81" t="s">
        <v>303</v>
      </c>
      <c r="H69" s="81">
        <v>190</v>
      </c>
      <c r="I69" s="81" t="str">
        <f t="shared" si="2"/>
        <v>Новый</v>
      </c>
    </row>
    <row r="70" spans="1:9">
      <c r="A70" s="4"/>
      <c r="B70" s="4"/>
      <c r="C70" s="4"/>
      <c r="F70" s="80">
        <v>68</v>
      </c>
      <c r="G70" s="81" t="s">
        <v>299</v>
      </c>
      <c r="H70" s="81">
        <v>150</v>
      </c>
      <c r="I70" s="81" t="str">
        <f t="shared" si="2"/>
        <v>Продолжается</v>
      </c>
    </row>
    <row r="71" spans="1:9">
      <c r="A71" s="4"/>
      <c r="B71" s="4"/>
      <c r="C71" s="4"/>
      <c r="F71" s="80">
        <v>69</v>
      </c>
      <c r="G71" s="81" t="s">
        <v>300</v>
      </c>
      <c r="H71" s="81">
        <v>160</v>
      </c>
      <c r="I71" s="81" t="str">
        <f t="shared" si="2"/>
        <v>Продолжается</v>
      </c>
    </row>
    <row r="72" spans="1:9">
      <c r="A72" s="4"/>
      <c r="B72" s="4"/>
      <c r="C72" s="4"/>
      <c r="F72" s="80">
        <v>70</v>
      </c>
      <c r="G72" s="81" t="s">
        <v>304</v>
      </c>
      <c r="H72" s="81">
        <v>125</v>
      </c>
      <c r="I72" s="81" t="str">
        <f t="shared" si="2"/>
        <v>Новый</v>
      </c>
    </row>
    <row r="73" spans="1:9">
      <c r="A73" s="4"/>
      <c r="B73" s="4"/>
      <c r="C73" s="4"/>
      <c r="F73" s="4"/>
      <c r="G73" s="4"/>
      <c r="H73" s="4"/>
    </row>
    <row r="74" spans="1:9">
      <c r="A74" s="4"/>
      <c r="B74" s="4"/>
      <c r="C74" s="4"/>
      <c r="F74" s="4"/>
      <c r="G74" s="4"/>
      <c r="H74" s="4"/>
    </row>
    <row r="75" spans="1:9">
      <c r="A75" s="4"/>
      <c r="B75" s="4"/>
      <c r="C75" s="4"/>
      <c r="F75" s="4"/>
      <c r="G75" s="4"/>
      <c r="H75" s="4"/>
    </row>
    <row r="76" spans="1:9">
      <c r="A76" s="4"/>
      <c r="B76" s="4"/>
      <c r="C76" s="4"/>
      <c r="F76" s="4"/>
      <c r="G76" s="4"/>
      <c r="H76" s="4"/>
    </row>
    <row r="77" spans="1:9">
      <c r="A77" s="4"/>
      <c r="B77" s="4"/>
      <c r="C77" s="4"/>
      <c r="F77" s="4"/>
      <c r="G77" s="4"/>
      <c r="H77" s="4"/>
    </row>
    <row r="78" spans="1:9">
      <c r="A78" s="4"/>
      <c r="B78" s="4"/>
      <c r="C78" s="4"/>
      <c r="F78" s="4"/>
      <c r="G78" s="4"/>
      <c r="H78" s="4"/>
    </row>
    <row r="79" spans="1:9">
      <c r="A79" s="4"/>
      <c r="B79" s="4"/>
      <c r="C79" s="4"/>
      <c r="F79" s="4"/>
      <c r="G79" s="4"/>
      <c r="H79" s="4"/>
    </row>
    <row r="80" spans="1:9">
      <c r="A80" s="4"/>
      <c r="B80" s="4"/>
      <c r="C80" s="4"/>
      <c r="F80" s="4"/>
      <c r="G80" s="4"/>
      <c r="H80" s="4"/>
    </row>
    <row r="81" spans="1:8">
      <c r="A81" s="4"/>
      <c r="B81" s="4"/>
      <c r="C81" s="4"/>
      <c r="F81" s="4"/>
      <c r="G81" s="4"/>
      <c r="H81" s="4"/>
    </row>
    <row r="82" spans="1:8">
      <c r="A82" s="4"/>
      <c r="B82" s="4"/>
      <c r="C82" s="4"/>
      <c r="F82" s="4"/>
      <c r="G82" s="4"/>
      <c r="H82" s="4"/>
    </row>
    <row r="83" spans="1:8">
      <c r="A83" s="4"/>
      <c r="B83" s="4"/>
      <c r="C83" s="4"/>
      <c r="F83" s="4"/>
      <c r="G83" s="4"/>
      <c r="H83" s="4"/>
    </row>
    <row r="84" spans="1:8">
      <c r="A84" s="4"/>
      <c r="B84" s="4"/>
      <c r="C84" s="4"/>
      <c r="F84" s="4"/>
      <c r="G84" s="4"/>
      <c r="H84" s="4"/>
    </row>
    <row r="85" spans="1:8">
      <c r="A85" s="4"/>
      <c r="B85" s="4"/>
      <c r="C85" s="4"/>
      <c r="F85" s="4"/>
      <c r="G85" s="4"/>
      <c r="H85" s="4"/>
    </row>
    <row r="86" spans="1:8">
      <c r="A86" s="4"/>
      <c r="B86" s="4"/>
      <c r="C86" s="4"/>
      <c r="F86" s="4"/>
      <c r="G86" s="4"/>
      <c r="H86" s="4"/>
    </row>
    <row r="87" spans="1:8">
      <c r="A87" s="4"/>
      <c r="B87" s="4"/>
      <c r="C87" s="4"/>
      <c r="F87" s="4"/>
      <c r="G87" s="4"/>
      <c r="H87" s="4"/>
    </row>
    <row r="88" spans="1:8">
      <c r="A88" s="4"/>
      <c r="B88" s="4"/>
      <c r="C88" s="4"/>
      <c r="F88" s="4"/>
      <c r="G88" s="4"/>
      <c r="H88" s="4"/>
    </row>
    <row r="89" spans="1:8">
      <c r="A89" s="4"/>
      <c r="B89" s="4"/>
      <c r="C89" s="4"/>
      <c r="F89" s="4"/>
      <c r="G89" s="4"/>
      <c r="H89" s="4"/>
    </row>
    <row r="90" spans="1:8">
      <c r="A90" s="4"/>
      <c r="B90" s="4"/>
      <c r="C90" s="4"/>
      <c r="F90" s="4"/>
      <c r="G90" s="4"/>
      <c r="H90" s="4"/>
    </row>
    <row r="91" spans="1:8">
      <c r="A91" s="4"/>
      <c r="B91" s="4"/>
      <c r="C91" s="4"/>
      <c r="F91" s="4"/>
      <c r="G91" s="4"/>
      <c r="H91" s="4"/>
    </row>
    <row r="92" spans="1:8">
      <c r="A92" s="4"/>
      <c r="B92" s="4"/>
      <c r="C92" s="4"/>
      <c r="F92" s="4"/>
      <c r="G92" s="4"/>
      <c r="H92" s="4"/>
    </row>
    <row r="93" spans="1:8">
      <c r="A93" s="4"/>
      <c r="B93" s="4"/>
      <c r="C93" s="4"/>
      <c r="F93" s="4"/>
      <c r="G93" s="4"/>
      <c r="H93" s="4"/>
    </row>
    <row r="94" spans="1:8">
      <c r="A94" s="4"/>
      <c r="B94" s="4"/>
      <c r="C94" s="4"/>
      <c r="F94" s="4"/>
      <c r="G94" s="4"/>
      <c r="H94" s="4"/>
    </row>
    <row r="95" spans="1:8">
      <c r="A95" s="4"/>
      <c r="B95" s="4"/>
      <c r="C95" s="4"/>
      <c r="F95" s="4"/>
      <c r="G95" s="4"/>
      <c r="H95" s="4"/>
    </row>
    <row r="96" spans="1:8">
      <c r="A96" s="4"/>
      <c r="B96" s="4"/>
      <c r="C96" s="4"/>
      <c r="F96" s="4"/>
      <c r="G96" s="4"/>
      <c r="H96" s="4"/>
    </row>
    <row r="97" spans="1:8">
      <c r="A97" s="4"/>
      <c r="B97" s="4"/>
      <c r="C97" s="4"/>
      <c r="F97" s="4"/>
      <c r="G97" s="4"/>
      <c r="H97" s="4"/>
    </row>
    <row r="98" spans="1:8">
      <c r="A98" s="4"/>
      <c r="B98" s="4"/>
      <c r="C98" s="4"/>
      <c r="F98" s="4"/>
      <c r="G98" s="4"/>
      <c r="H98" s="4"/>
    </row>
    <row r="99" spans="1:8">
      <c r="A99" s="4"/>
      <c r="B99" s="4"/>
      <c r="C99" s="4"/>
      <c r="F99" s="4"/>
      <c r="G99" s="4"/>
      <c r="H99" s="4"/>
    </row>
    <row r="100" spans="1:8">
      <c r="A100" s="4"/>
      <c r="B100" s="4"/>
      <c r="C100" s="4"/>
      <c r="F100" s="4"/>
      <c r="G100" s="4"/>
      <c r="H100" s="4"/>
    </row>
    <row r="101" spans="1:8">
      <c r="A101" s="4"/>
      <c r="B101" s="4"/>
      <c r="C101" s="4"/>
      <c r="F101" s="4"/>
      <c r="G101" s="4"/>
      <c r="H101" s="4"/>
    </row>
    <row r="102" spans="1:8">
      <c r="A102" s="4"/>
      <c r="B102" s="4"/>
      <c r="C102" s="4"/>
      <c r="F102" s="4"/>
      <c r="G102" s="4"/>
      <c r="H102" s="4"/>
    </row>
    <row r="103" spans="1:8">
      <c r="A103" s="4"/>
      <c r="B103" s="4"/>
      <c r="C103" s="4"/>
      <c r="F103" s="4"/>
      <c r="G103" s="4"/>
      <c r="H103" s="4"/>
    </row>
    <row r="104" spans="1:8">
      <c r="A104" s="4"/>
      <c r="B104" s="4"/>
      <c r="C104" s="4"/>
      <c r="F104" s="4"/>
      <c r="G104" s="4"/>
      <c r="H104" s="4"/>
    </row>
    <row r="105" spans="1:8">
      <c r="A105" s="4"/>
      <c r="B105" s="4"/>
      <c r="C105" s="4"/>
      <c r="F105" s="4"/>
      <c r="G105" s="4"/>
      <c r="H105" s="4"/>
    </row>
    <row r="106" spans="1:8">
      <c r="A106" s="4"/>
      <c r="B106" s="4"/>
      <c r="C106" s="4"/>
      <c r="F106" s="4"/>
      <c r="G106" s="4"/>
      <c r="H106" s="4"/>
    </row>
    <row r="107" spans="1:8">
      <c r="A107" s="4"/>
      <c r="B107" s="4"/>
      <c r="C107" s="4"/>
      <c r="F107" s="4"/>
      <c r="G107" s="4"/>
      <c r="H107" s="4"/>
    </row>
    <row r="108" spans="1:8">
      <c r="A108" s="4"/>
      <c r="B108" s="4"/>
      <c r="C108" s="4"/>
      <c r="F108" s="4"/>
      <c r="G108" s="4"/>
      <c r="H108" s="4"/>
    </row>
    <row r="109" spans="1:8">
      <c r="A109" s="4"/>
      <c r="B109" s="4"/>
      <c r="C109" s="4"/>
      <c r="F109" s="4"/>
      <c r="G109" s="4"/>
      <c r="H109" s="4"/>
    </row>
    <row r="110" spans="1:8">
      <c r="A110" s="4"/>
      <c r="B110" s="4"/>
      <c r="C110" s="4"/>
      <c r="F110" s="4"/>
      <c r="G110" s="4"/>
      <c r="H110" s="4"/>
    </row>
    <row r="111" spans="1:8">
      <c r="A111" s="4"/>
      <c r="B111" s="4"/>
      <c r="C111" s="4"/>
      <c r="F111" s="4"/>
      <c r="G111" s="4"/>
      <c r="H111" s="4"/>
    </row>
    <row r="112" spans="1:8">
      <c r="A112" s="4"/>
      <c r="B112" s="4"/>
      <c r="C112" s="4"/>
      <c r="F112" s="4"/>
      <c r="G112" s="4"/>
      <c r="H112" s="4"/>
    </row>
    <row r="113" spans="1:8">
      <c r="A113" s="4"/>
      <c r="B113" s="4"/>
      <c r="C113" s="4"/>
      <c r="F113" s="4"/>
      <c r="G113" s="4"/>
      <c r="H113" s="4"/>
    </row>
    <row r="114" spans="1:8">
      <c r="A114" s="4"/>
      <c r="B114" s="4"/>
      <c r="C114" s="4"/>
      <c r="F114" s="4"/>
      <c r="G114" s="4"/>
      <c r="H114" s="4"/>
    </row>
    <row r="115" spans="1:8">
      <c r="A115" s="4"/>
      <c r="B115" s="4"/>
      <c r="C115" s="4"/>
      <c r="F115" s="4"/>
      <c r="G115" s="4"/>
      <c r="H115" s="4"/>
    </row>
    <row r="116" spans="1:8">
      <c r="A116" s="4"/>
      <c r="B116" s="4"/>
      <c r="C116" s="4"/>
      <c r="F116" s="4"/>
      <c r="G116" s="4"/>
      <c r="H116" s="4"/>
    </row>
    <row r="117" spans="1:8">
      <c r="A117" s="4"/>
      <c r="B117" s="4"/>
      <c r="C117" s="4"/>
      <c r="F117" s="4"/>
      <c r="G117" s="4"/>
      <c r="H117" s="4"/>
    </row>
    <row r="118" spans="1:8">
      <c r="A118" s="4"/>
      <c r="B118" s="4"/>
      <c r="C118" s="4"/>
      <c r="F118" s="4"/>
      <c r="G118" s="4"/>
      <c r="H118" s="4"/>
    </row>
    <row r="119" spans="1:8">
      <c r="A119" s="4"/>
      <c r="B119" s="4"/>
      <c r="C119" s="4"/>
      <c r="F119" s="4"/>
      <c r="G119" s="4"/>
      <c r="H119" s="4"/>
    </row>
    <row r="120" spans="1:8">
      <c r="A120" s="4"/>
      <c r="B120" s="4"/>
      <c r="C120" s="4"/>
      <c r="F120" s="4"/>
      <c r="G120" s="4"/>
      <c r="H120" s="4"/>
    </row>
    <row r="121" spans="1:8">
      <c r="A121" s="4"/>
      <c r="B121" s="4"/>
      <c r="C121" s="4"/>
      <c r="F121" s="4"/>
      <c r="G121" s="4"/>
      <c r="H121" s="4"/>
    </row>
    <row r="122" spans="1:8">
      <c r="A122" s="4"/>
      <c r="B122" s="4"/>
      <c r="C122" s="4"/>
      <c r="F122" s="4"/>
      <c r="G122" s="4"/>
      <c r="H122" s="4"/>
    </row>
    <row r="123" spans="1:8">
      <c r="A123" s="4"/>
      <c r="B123" s="4"/>
      <c r="C123" s="4"/>
      <c r="F123" s="4"/>
      <c r="G123" s="4"/>
      <c r="H123" s="4"/>
    </row>
    <row r="124" spans="1:8">
      <c r="A124" s="4"/>
      <c r="B124" s="4"/>
      <c r="C124" s="4"/>
      <c r="F124" s="4"/>
      <c r="G124" s="4"/>
      <c r="H124" s="4"/>
    </row>
    <row r="125" spans="1:8">
      <c r="A125" s="4"/>
      <c r="B125" s="4"/>
      <c r="C125" s="4"/>
      <c r="F125" s="4"/>
      <c r="G125" s="4"/>
      <c r="H125" s="4"/>
    </row>
    <row r="126" spans="1:8">
      <c r="A126" s="4"/>
      <c r="B126" s="4"/>
      <c r="C126" s="4"/>
      <c r="F126" s="4"/>
      <c r="G126" s="4"/>
      <c r="H126" s="4"/>
    </row>
    <row r="127" spans="1:8">
      <c r="A127" s="4"/>
      <c r="B127" s="4"/>
      <c r="C127" s="4"/>
      <c r="F127" s="4"/>
      <c r="G127" s="4"/>
      <c r="H127" s="4"/>
    </row>
    <row r="128" spans="1:8">
      <c r="A128" s="4"/>
      <c r="B128" s="4"/>
      <c r="C128" s="4"/>
      <c r="F128" s="4"/>
      <c r="G128" s="4"/>
      <c r="H128" s="4"/>
    </row>
    <row r="129" spans="1:8">
      <c r="A129" s="4"/>
      <c r="B129" s="4"/>
      <c r="C129" s="4"/>
      <c r="F129" s="4"/>
      <c r="G129" s="4"/>
      <c r="H129" s="4"/>
    </row>
    <row r="130" spans="1:8">
      <c r="A130" s="4"/>
      <c r="B130" s="4"/>
      <c r="C130" s="4"/>
      <c r="F130" s="4"/>
      <c r="G130" s="4"/>
      <c r="H130" s="4"/>
    </row>
    <row r="131" spans="1:8">
      <c r="A131" s="4"/>
      <c r="B131" s="4"/>
      <c r="C131" s="4"/>
      <c r="F131" s="4"/>
      <c r="G131" s="4"/>
      <c r="H131" s="4"/>
    </row>
    <row r="132" spans="1:8">
      <c r="A132" s="4"/>
      <c r="B132" s="4"/>
      <c r="C132" s="4"/>
      <c r="F132" s="4"/>
      <c r="G132" s="4"/>
      <c r="H132" s="4"/>
    </row>
    <row r="133" spans="1:8">
      <c r="A133" s="4"/>
      <c r="B133" s="4"/>
      <c r="C133" s="4"/>
      <c r="F133" s="4"/>
      <c r="G133" s="4"/>
      <c r="H133" s="4"/>
    </row>
    <row r="134" spans="1:8">
      <c r="A134" s="4"/>
      <c r="B134" s="4"/>
      <c r="C134" s="4"/>
      <c r="F134" s="4"/>
      <c r="G134" s="4"/>
      <c r="H134" s="4"/>
    </row>
    <row r="135" spans="1:8">
      <c r="A135" s="4"/>
      <c r="B135" s="4"/>
      <c r="C135" s="4"/>
      <c r="F135" s="4"/>
      <c r="G135" s="4"/>
      <c r="H135" s="4"/>
    </row>
    <row r="136" spans="1:8">
      <c r="A136" s="4"/>
      <c r="B136" s="4"/>
      <c r="C136" s="4"/>
      <c r="F136" s="4"/>
      <c r="G136" s="4"/>
      <c r="H136" s="4"/>
    </row>
    <row r="137" spans="1:8">
      <c r="A137" s="4"/>
      <c r="B137" s="4"/>
      <c r="C137" s="4"/>
      <c r="F137" s="4"/>
      <c r="G137" s="4"/>
      <c r="H137" s="4"/>
    </row>
    <row r="138" spans="1:8">
      <c r="A138" s="4"/>
      <c r="B138" s="4"/>
      <c r="C138" s="4"/>
      <c r="F138" s="4"/>
      <c r="G138" s="4"/>
      <c r="H138" s="4"/>
    </row>
    <row r="139" spans="1:8">
      <c r="A139" s="4"/>
      <c r="B139" s="4"/>
      <c r="C139" s="4"/>
      <c r="F139" s="4"/>
      <c r="G139" s="4"/>
      <c r="H139" s="4"/>
    </row>
    <row r="140" spans="1:8">
      <c r="A140" s="4"/>
      <c r="B140" s="4"/>
      <c r="C140" s="4"/>
      <c r="F140" s="4"/>
      <c r="G140" s="4"/>
      <c r="H140" s="4"/>
    </row>
    <row r="141" spans="1:8">
      <c r="A141" s="4"/>
      <c r="B141" s="4"/>
      <c r="C141" s="4"/>
      <c r="F141" s="4"/>
      <c r="G141" s="4"/>
      <c r="H141" s="4"/>
    </row>
    <row r="142" spans="1:8">
      <c r="A142" s="4"/>
      <c r="B142" s="4"/>
      <c r="C142" s="4"/>
      <c r="F142" s="4"/>
      <c r="G142" s="4"/>
      <c r="H142" s="4"/>
    </row>
    <row r="143" spans="1:8">
      <c r="A143" s="4"/>
      <c r="B143" s="4"/>
      <c r="C143" s="4"/>
      <c r="F143" s="4"/>
      <c r="G143" s="4"/>
      <c r="H143" s="4"/>
    </row>
    <row r="144" spans="1:8">
      <c r="A144" s="4"/>
      <c r="B144" s="4"/>
      <c r="C144" s="4"/>
      <c r="F144" s="4"/>
      <c r="G144" s="4"/>
      <c r="H144" s="4"/>
    </row>
    <row r="145" spans="1:8">
      <c r="A145" s="4"/>
      <c r="B145" s="4"/>
      <c r="C145" s="4"/>
      <c r="F145" s="4"/>
      <c r="G145" s="4"/>
      <c r="H145" s="4"/>
    </row>
    <row r="146" spans="1:8">
      <c r="A146" s="4"/>
      <c r="B146" s="4"/>
      <c r="C146" s="4"/>
      <c r="F146" s="4"/>
      <c r="G146" s="4"/>
      <c r="H146" s="4"/>
    </row>
    <row r="147" spans="1:8">
      <c r="A147" s="4"/>
      <c r="B147" s="4"/>
      <c r="C147" s="4"/>
      <c r="F147" s="4"/>
      <c r="G147" s="4"/>
      <c r="H147" s="4"/>
    </row>
    <row r="148" spans="1:8">
      <c r="A148" s="4"/>
      <c r="B148" s="4"/>
      <c r="C148" s="4"/>
      <c r="F148" s="4"/>
      <c r="G148" s="4"/>
      <c r="H148" s="4"/>
    </row>
    <row r="149" spans="1:8">
      <c r="A149" s="4"/>
      <c r="B149" s="4"/>
      <c r="C149" s="4"/>
      <c r="F149" s="4"/>
      <c r="G149" s="4"/>
      <c r="H149" s="4"/>
    </row>
    <row r="150" spans="1:8">
      <c r="A150" s="4"/>
      <c r="B150" s="4"/>
      <c r="C150" s="4"/>
      <c r="F150" s="4"/>
      <c r="G150" s="4"/>
      <c r="H150" s="4"/>
    </row>
    <row r="151" spans="1:8">
      <c r="A151" s="4"/>
      <c r="B151" s="4"/>
      <c r="C151" s="4"/>
      <c r="F151" s="4"/>
      <c r="G151" s="4"/>
      <c r="H151" s="4"/>
    </row>
    <row r="152" spans="1:8">
      <c r="A152" s="4"/>
      <c r="B152" s="4"/>
      <c r="C152" s="4"/>
      <c r="F152" s="4"/>
      <c r="G152" s="4"/>
      <c r="H152" s="4"/>
    </row>
    <row r="153" spans="1:8">
      <c r="A153" s="4"/>
      <c r="B153" s="4"/>
      <c r="C153" s="4"/>
      <c r="F153" s="4"/>
      <c r="G153" s="4"/>
      <c r="H153" s="4"/>
    </row>
    <row r="154" spans="1:8">
      <c r="A154" s="4"/>
      <c r="B154" s="4"/>
      <c r="C154" s="4"/>
      <c r="F154" s="4"/>
      <c r="G154" s="4"/>
      <c r="H154" s="4"/>
    </row>
    <row r="155" spans="1:8">
      <c r="A155" s="4"/>
      <c r="B155" s="4"/>
      <c r="C155" s="4"/>
      <c r="F155" s="4"/>
      <c r="G155" s="4"/>
      <c r="H155" s="4"/>
    </row>
    <row r="156" spans="1:8">
      <c r="A156" s="4"/>
      <c r="B156" s="4"/>
      <c r="C156" s="4"/>
      <c r="F156" s="4"/>
      <c r="G156" s="4"/>
      <c r="H156" s="4"/>
    </row>
    <row r="157" spans="1:8">
      <c r="A157" s="4"/>
      <c r="B157" s="4"/>
      <c r="C157" s="4"/>
      <c r="F157" s="4"/>
      <c r="G157" s="4"/>
      <c r="H157" s="4"/>
    </row>
    <row r="158" spans="1:8">
      <c r="A158" s="4"/>
      <c r="B158" s="4"/>
      <c r="C158" s="4"/>
      <c r="F158" s="4"/>
      <c r="G158" s="4"/>
      <c r="H158" s="4"/>
    </row>
    <row r="159" spans="1:8">
      <c r="A159" s="4"/>
      <c r="B159" s="4"/>
      <c r="C159" s="4"/>
      <c r="F159" s="4"/>
      <c r="G159" s="4"/>
      <c r="H159" s="4"/>
    </row>
    <row r="160" spans="1:8">
      <c r="A160" s="4"/>
      <c r="B160" s="4"/>
      <c r="C160" s="4"/>
      <c r="F160" s="4"/>
      <c r="G160" s="4"/>
      <c r="H160" s="4"/>
    </row>
    <row r="161" spans="1:8">
      <c r="A161" s="4"/>
      <c r="B161" s="4"/>
      <c r="C161" s="4"/>
      <c r="F161" s="4"/>
      <c r="G161" s="4"/>
      <c r="H161" s="4"/>
    </row>
    <row r="162" spans="1:8">
      <c r="A162" s="4"/>
      <c r="B162" s="4"/>
      <c r="C162" s="4"/>
      <c r="F162" s="4"/>
      <c r="G162" s="4"/>
      <c r="H162" s="4"/>
    </row>
    <row r="163" spans="1:8">
      <c r="A163" s="4"/>
      <c r="B163" s="4"/>
      <c r="C163" s="4"/>
      <c r="F163" s="4"/>
      <c r="G163" s="4"/>
      <c r="H163" s="4"/>
    </row>
    <row r="164" spans="1:8">
      <c r="A164" s="4"/>
      <c r="B164" s="4"/>
      <c r="C164" s="4"/>
      <c r="F164" s="4"/>
      <c r="G164" s="4"/>
      <c r="H164" s="4"/>
    </row>
    <row r="165" spans="1:8">
      <c r="A165" s="4"/>
      <c r="B165" s="4"/>
      <c r="C165" s="4"/>
      <c r="F165" s="4"/>
      <c r="G165" s="4"/>
      <c r="H165" s="4"/>
    </row>
    <row r="166" spans="1:8">
      <c r="A166" s="4"/>
      <c r="B166" s="4"/>
      <c r="C166" s="4"/>
      <c r="F166" s="4"/>
      <c r="G166" s="4"/>
      <c r="H166" s="4"/>
    </row>
    <row r="167" spans="1:8">
      <c r="A167" s="4"/>
      <c r="B167" s="4"/>
      <c r="C167" s="4"/>
      <c r="F167" s="4"/>
      <c r="G167" s="4"/>
      <c r="H167" s="4"/>
    </row>
    <row r="168" spans="1:8">
      <c r="A168" s="4"/>
      <c r="B168" s="4"/>
      <c r="C168" s="4"/>
      <c r="F168" s="4"/>
      <c r="G168" s="4"/>
      <c r="H168" s="4"/>
    </row>
    <row r="169" spans="1:8">
      <c r="A169" s="4"/>
      <c r="B169" s="4"/>
      <c r="C169" s="4"/>
      <c r="F169" s="4"/>
      <c r="G169" s="4"/>
      <c r="H169" s="4"/>
    </row>
    <row r="170" spans="1:8">
      <c r="A170" s="4"/>
      <c r="B170" s="4"/>
      <c r="C170" s="4"/>
      <c r="F170" s="4"/>
      <c r="G170" s="4"/>
      <c r="H170" s="4"/>
    </row>
    <row r="171" spans="1:8">
      <c r="A171" s="4"/>
      <c r="B171" s="4"/>
      <c r="C171" s="4"/>
      <c r="F171" s="4"/>
      <c r="G171" s="4"/>
      <c r="H171" s="4"/>
    </row>
    <row r="172" spans="1:8">
      <c r="A172" s="4"/>
      <c r="B172" s="4"/>
      <c r="C172" s="4"/>
      <c r="F172" s="4"/>
      <c r="G172" s="4"/>
      <c r="H172" s="4"/>
    </row>
    <row r="173" spans="1:8">
      <c r="A173" s="4"/>
      <c r="B173" s="4"/>
      <c r="C173" s="4"/>
      <c r="F173" s="4"/>
      <c r="G173" s="4"/>
      <c r="H173" s="4"/>
    </row>
    <row r="174" spans="1:8">
      <c r="A174" s="4"/>
      <c r="B174" s="4"/>
      <c r="C174" s="4"/>
      <c r="F174" s="4"/>
      <c r="G174" s="4"/>
      <c r="H174" s="4"/>
    </row>
    <row r="175" spans="1:8">
      <c r="A175" s="4"/>
      <c r="B175" s="4"/>
      <c r="C175" s="4"/>
      <c r="F175" s="4"/>
      <c r="G175" s="4"/>
      <c r="H175" s="4"/>
    </row>
    <row r="176" spans="1:8">
      <c r="A176" s="4"/>
      <c r="B176" s="4"/>
      <c r="C176" s="4"/>
      <c r="F176" s="4"/>
      <c r="G176" s="4"/>
      <c r="H176" s="4"/>
    </row>
    <row r="177" spans="1:8">
      <c r="A177" s="4"/>
      <c r="B177" s="4"/>
      <c r="C177" s="4"/>
      <c r="F177" s="4"/>
      <c r="G177" s="4"/>
      <c r="H177" s="4"/>
    </row>
    <row r="178" spans="1:8">
      <c r="A178" s="4"/>
      <c r="B178" s="4"/>
      <c r="C178" s="4"/>
      <c r="F178" s="4"/>
      <c r="G178" s="4"/>
      <c r="H178" s="4"/>
    </row>
    <row r="179" spans="1:8">
      <c r="A179" s="4"/>
      <c r="B179" s="4"/>
      <c r="C179" s="4"/>
      <c r="F179" s="4"/>
      <c r="G179" s="4"/>
      <c r="H179" s="4"/>
    </row>
    <row r="180" spans="1:8">
      <c r="A180" s="4"/>
      <c r="B180" s="4"/>
      <c r="C180" s="4"/>
      <c r="F180" s="4"/>
      <c r="G180" s="4"/>
      <c r="H180" s="4"/>
    </row>
    <row r="181" spans="1:8">
      <c r="A181" s="4"/>
      <c r="B181" s="4"/>
      <c r="C181" s="4"/>
      <c r="F181" s="4"/>
      <c r="G181" s="4"/>
      <c r="H181" s="4"/>
    </row>
    <row r="182" spans="1:8">
      <c r="A182" s="4"/>
      <c r="B182" s="4"/>
      <c r="C182" s="4"/>
      <c r="F182" s="4"/>
      <c r="G182" s="4"/>
      <c r="H182" s="4"/>
    </row>
    <row r="183" spans="1:8">
      <c r="A183" s="4"/>
      <c r="B183" s="4"/>
      <c r="C183" s="4"/>
      <c r="F183" s="4"/>
      <c r="G183" s="4"/>
      <c r="H183" s="4"/>
    </row>
    <row r="184" spans="1:8">
      <c r="A184" s="4"/>
      <c r="B184" s="4"/>
      <c r="C184" s="4"/>
      <c r="F184" s="4"/>
      <c r="G184" s="4"/>
      <c r="H184" s="4"/>
    </row>
    <row r="185" spans="1:8">
      <c r="A185" s="4"/>
      <c r="B185" s="4"/>
      <c r="C185" s="4"/>
      <c r="F185" s="4"/>
      <c r="G185" s="4"/>
      <c r="H185" s="4"/>
    </row>
    <row r="186" spans="1:8">
      <c r="A186" s="4"/>
      <c r="B186" s="4"/>
      <c r="C186" s="4"/>
      <c r="F186" s="4"/>
      <c r="G186" s="4"/>
      <c r="H186" s="4"/>
    </row>
    <row r="187" spans="1:8">
      <c r="A187" s="4"/>
      <c r="B187" s="4"/>
      <c r="C187" s="4"/>
      <c r="F187" s="4"/>
      <c r="G187" s="4"/>
      <c r="H187" s="4"/>
    </row>
    <row r="188" spans="1:8">
      <c r="A188" s="4"/>
      <c r="B188" s="4"/>
      <c r="C188" s="4"/>
      <c r="F188" s="4"/>
      <c r="G188" s="4"/>
      <c r="H188" s="4"/>
    </row>
    <row r="189" spans="1:8">
      <c r="A189" s="4"/>
      <c r="B189" s="4"/>
      <c r="C189" s="4"/>
      <c r="F189" s="4"/>
      <c r="G189" s="4"/>
      <c r="H189" s="4"/>
    </row>
    <row r="190" spans="1:8">
      <c r="A190" s="4"/>
      <c r="B190" s="4"/>
      <c r="C190" s="4"/>
      <c r="F190" s="4"/>
      <c r="G190" s="4"/>
      <c r="H190" s="4"/>
    </row>
    <row r="191" spans="1:8">
      <c r="A191" s="4"/>
      <c r="B191" s="4"/>
      <c r="C191" s="4"/>
      <c r="F191" s="4"/>
      <c r="G191" s="4"/>
      <c r="H191" s="4"/>
    </row>
    <row r="192" spans="1:8">
      <c r="A192" s="4"/>
      <c r="B192" s="4"/>
      <c r="C192" s="4"/>
      <c r="F192" s="4"/>
      <c r="G192" s="4"/>
      <c r="H192" s="4"/>
    </row>
    <row r="193" spans="1:8">
      <c r="A193" s="4"/>
      <c r="B193" s="4"/>
      <c r="C193" s="4"/>
      <c r="F193" s="4"/>
      <c r="G193" s="4"/>
      <c r="H193" s="4"/>
    </row>
    <row r="194" spans="1:8">
      <c r="A194" s="4"/>
      <c r="B194" s="4"/>
      <c r="C194" s="4"/>
      <c r="F194" s="4"/>
      <c r="G194" s="4"/>
      <c r="H194" s="4"/>
    </row>
    <row r="195" spans="1:8">
      <c r="A195" s="4"/>
      <c r="B195" s="4"/>
      <c r="C195" s="4"/>
      <c r="F195" s="4"/>
      <c r="G195" s="4"/>
      <c r="H195" s="4"/>
    </row>
    <row r="196" spans="1:8">
      <c r="A196" s="4"/>
      <c r="B196" s="4"/>
      <c r="C196" s="4"/>
      <c r="F196" s="4"/>
      <c r="G196" s="4"/>
      <c r="H196" s="4"/>
    </row>
    <row r="197" spans="1:8">
      <c r="A197" s="4"/>
      <c r="B197" s="4"/>
      <c r="C197" s="4"/>
      <c r="F197" s="4"/>
      <c r="G197" s="4"/>
      <c r="H197" s="4"/>
    </row>
    <row r="198" spans="1:8">
      <c r="A198" s="4"/>
      <c r="B198" s="4"/>
      <c r="C198" s="4"/>
      <c r="F198" s="4"/>
      <c r="G198" s="4"/>
      <c r="H198" s="4"/>
    </row>
    <row r="199" spans="1:8">
      <c r="A199" s="4"/>
      <c r="B199" s="4"/>
      <c r="C199" s="4"/>
      <c r="F199" s="4"/>
      <c r="G199" s="4"/>
      <c r="H199" s="4"/>
    </row>
    <row r="200" spans="1:8">
      <c r="A200" s="4"/>
      <c r="B200" s="4"/>
      <c r="C200" s="4"/>
      <c r="F200" s="4"/>
      <c r="G200" s="4"/>
      <c r="H200" s="4"/>
    </row>
    <row r="201" spans="1:8">
      <c r="A201" s="4"/>
      <c r="B201" s="4"/>
      <c r="C201" s="4"/>
      <c r="F201" s="4"/>
      <c r="G201" s="4"/>
      <c r="H201" s="4"/>
    </row>
    <row r="202" spans="1:8">
      <c r="A202" s="4"/>
      <c r="B202" s="4"/>
      <c r="C202" s="4"/>
      <c r="F202" s="4"/>
      <c r="G202" s="4"/>
      <c r="H202" s="4"/>
    </row>
    <row r="203" spans="1:8">
      <c r="A203" s="4"/>
      <c r="B203" s="4"/>
      <c r="C203" s="4"/>
      <c r="F203" s="4"/>
      <c r="G203" s="4"/>
      <c r="H203" s="4"/>
    </row>
    <row r="204" spans="1:8">
      <c r="A204" s="4"/>
      <c r="B204" s="4"/>
      <c r="C204" s="4"/>
      <c r="F204" s="4"/>
      <c r="G204" s="4"/>
      <c r="H204" s="4"/>
    </row>
    <row r="205" spans="1:8">
      <c r="A205" s="4"/>
      <c r="B205" s="4"/>
      <c r="C205" s="4"/>
      <c r="F205" s="4"/>
      <c r="G205" s="4"/>
      <c r="H205" s="4"/>
    </row>
    <row r="206" spans="1:8">
      <c r="A206" s="4"/>
      <c r="B206" s="4"/>
      <c r="C206" s="4"/>
      <c r="F206" s="4"/>
      <c r="G206" s="4"/>
      <c r="H206" s="4"/>
    </row>
    <row r="207" spans="1:8">
      <c r="A207" s="4"/>
      <c r="B207" s="4"/>
      <c r="C207" s="4"/>
      <c r="F207" s="4"/>
      <c r="G207" s="4"/>
      <c r="H207" s="4"/>
    </row>
    <row r="208" spans="1:8">
      <c r="A208" s="4"/>
      <c r="B208" s="4"/>
      <c r="C208" s="4"/>
      <c r="F208" s="4"/>
      <c r="G208" s="4"/>
      <c r="H208" s="4"/>
    </row>
    <row r="209" spans="1:8">
      <c r="A209" s="4"/>
      <c r="B209" s="4"/>
      <c r="C209" s="4"/>
      <c r="F209" s="4"/>
      <c r="G209" s="4"/>
      <c r="H209" s="4"/>
    </row>
    <row r="210" spans="1:8">
      <c r="A210" s="4"/>
      <c r="B210" s="4"/>
      <c r="C210" s="4"/>
      <c r="F210" s="4"/>
      <c r="G210" s="4"/>
      <c r="H210" s="4"/>
    </row>
    <row r="211" spans="1:8">
      <c r="A211" s="4"/>
      <c r="B211" s="4"/>
      <c r="C211" s="4"/>
      <c r="F211" s="4"/>
      <c r="G211" s="4"/>
      <c r="H211" s="4"/>
    </row>
    <row r="212" spans="1:8">
      <c r="A212" s="4"/>
      <c r="B212" s="4"/>
      <c r="C212" s="4"/>
      <c r="F212" s="4"/>
      <c r="G212" s="4"/>
      <c r="H212" s="4"/>
    </row>
    <row r="213" spans="1:8">
      <c r="A213" s="4"/>
      <c r="B213" s="4"/>
      <c r="C213" s="4"/>
      <c r="F213" s="4"/>
      <c r="G213" s="4"/>
      <c r="H213" s="4"/>
    </row>
    <row r="214" spans="1:8">
      <c r="A214" s="4"/>
      <c r="B214" s="4"/>
      <c r="C214" s="4"/>
      <c r="F214" s="4"/>
      <c r="G214" s="4"/>
      <c r="H214" s="4"/>
    </row>
    <row r="215" spans="1:8">
      <c r="A215" s="4"/>
      <c r="B215" s="4"/>
      <c r="C215" s="4"/>
      <c r="F215" s="4"/>
      <c r="G215" s="4"/>
      <c r="H215" s="4"/>
    </row>
    <row r="216" spans="1:8">
      <c r="A216" s="4"/>
      <c r="B216" s="4"/>
      <c r="C216" s="4"/>
      <c r="F216" s="4"/>
      <c r="G216" s="4"/>
      <c r="H216" s="4"/>
    </row>
    <row r="217" spans="1:8">
      <c r="A217" s="4"/>
      <c r="B217" s="4"/>
      <c r="C217" s="4"/>
      <c r="F217" s="4"/>
      <c r="G217" s="4"/>
      <c r="H217" s="4"/>
    </row>
    <row r="218" spans="1:8">
      <c r="A218" s="4"/>
      <c r="B218" s="4"/>
      <c r="C218" s="4"/>
      <c r="F218" s="4"/>
      <c r="G218" s="4"/>
      <c r="H218" s="4"/>
    </row>
    <row r="219" spans="1:8">
      <c r="A219" s="4"/>
      <c r="B219" s="4"/>
      <c r="C219" s="4"/>
      <c r="F219" s="4"/>
      <c r="G219" s="4"/>
      <c r="H219" s="4"/>
    </row>
    <row r="220" spans="1:8">
      <c r="A220" s="4"/>
      <c r="B220" s="4"/>
      <c r="C220" s="4"/>
      <c r="F220" s="4"/>
      <c r="G220" s="4"/>
      <c r="H220" s="4"/>
    </row>
    <row r="221" spans="1:8">
      <c r="A221" s="4"/>
      <c r="B221" s="4"/>
      <c r="C221" s="4"/>
      <c r="F221" s="4"/>
      <c r="G221" s="4"/>
      <c r="H221" s="4"/>
    </row>
    <row r="222" spans="1:8">
      <c r="A222" s="4"/>
      <c r="B222" s="4"/>
      <c r="C222" s="4"/>
      <c r="F222" s="4"/>
      <c r="G222" s="4"/>
      <c r="H222" s="4"/>
    </row>
    <row r="223" spans="1:8">
      <c r="A223" s="4"/>
      <c r="B223" s="4"/>
      <c r="C223" s="4"/>
      <c r="F223" s="4"/>
      <c r="G223" s="4"/>
      <c r="H223" s="4"/>
    </row>
    <row r="224" spans="1:8">
      <c r="A224" s="4"/>
      <c r="B224" s="4"/>
      <c r="C224" s="4"/>
      <c r="F224" s="4"/>
      <c r="G224" s="4"/>
      <c r="H224" s="4"/>
    </row>
    <row r="225" spans="1:8">
      <c r="A225" s="4"/>
      <c r="B225" s="4"/>
      <c r="C225" s="4"/>
      <c r="F225" s="4"/>
      <c r="G225" s="4"/>
      <c r="H225" s="4"/>
    </row>
    <row r="226" spans="1:8">
      <c r="A226" s="4"/>
      <c r="B226" s="4"/>
      <c r="C226" s="4"/>
      <c r="F226" s="4"/>
      <c r="G226" s="4"/>
      <c r="H226" s="4"/>
    </row>
    <row r="227" spans="1:8">
      <c r="A227" s="4"/>
      <c r="B227" s="4"/>
      <c r="C227" s="4"/>
      <c r="F227" s="4"/>
      <c r="G227" s="4"/>
      <c r="H227" s="4"/>
    </row>
    <row r="228" spans="1:8">
      <c r="A228" s="4"/>
      <c r="B228" s="4"/>
      <c r="C228" s="4"/>
      <c r="F228" s="4"/>
      <c r="G228" s="4"/>
      <c r="H228" s="4"/>
    </row>
    <row r="229" spans="1:8">
      <c r="A229" s="4"/>
      <c r="B229" s="4"/>
      <c r="C229" s="4"/>
      <c r="F229" s="4"/>
      <c r="G229" s="4"/>
      <c r="H229" s="4"/>
    </row>
    <row r="230" spans="1:8">
      <c r="A230" s="4"/>
      <c r="B230" s="4"/>
      <c r="C230" s="4"/>
      <c r="F230" s="4"/>
      <c r="G230" s="4"/>
      <c r="H230" s="4"/>
    </row>
    <row r="231" spans="1:8">
      <c r="A231" s="4"/>
      <c r="B231" s="4"/>
      <c r="C231" s="4"/>
      <c r="F231" s="4"/>
      <c r="G231" s="4"/>
      <c r="H231" s="4"/>
    </row>
    <row r="232" spans="1:8">
      <c r="A232" s="4"/>
      <c r="B232" s="4"/>
      <c r="C232" s="4"/>
      <c r="F232" s="4"/>
      <c r="G232" s="4"/>
      <c r="H232" s="4"/>
    </row>
    <row r="233" spans="1:8">
      <c r="A233" s="4"/>
      <c r="B233" s="4"/>
      <c r="C233" s="4"/>
      <c r="F233" s="4"/>
      <c r="G233" s="4"/>
      <c r="H233" s="4"/>
    </row>
    <row r="234" spans="1:8">
      <c r="A234" s="4"/>
      <c r="B234" s="4"/>
      <c r="C234" s="4"/>
      <c r="F234" s="4"/>
      <c r="G234" s="4"/>
      <c r="H234" s="4"/>
    </row>
    <row r="235" spans="1:8">
      <c r="A235" s="4"/>
      <c r="B235" s="4"/>
      <c r="C235" s="4"/>
      <c r="F235" s="4"/>
      <c r="G235" s="4"/>
      <c r="H235" s="4"/>
    </row>
    <row r="236" spans="1:8">
      <c r="A236" s="4"/>
      <c r="B236" s="4"/>
      <c r="C236" s="4"/>
      <c r="F236" s="4"/>
      <c r="G236" s="4"/>
      <c r="H236" s="4"/>
    </row>
    <row r="237" spans="1:8">
      <c r="A237" s="4"/>
      <c r="B237" s="4"/>
      <c r="C237" s="4"/>
      <c r="F237" s="4"/>
      <c r="G237" s="4"/>
      <c r="H237" s="4"/>
    </row>
    <row r="238" spans="1:8">
      <c r="A238" s="4"/>
      <c r="B238" s="4"/>
      <c r="C238" s="4"/>
      <c r="F238" s="4"/>
      <c r="G238" s="4"/>
      <c r="H238" s="4"/>
    </row>
    <row r="239" spans="1:8">
      <c r="A239" s="4"/>
      <c r="B239" s="4"/>
      <c r="C239" s="4"/>
      <c r="F239" s="4"/>
      <c r="G239" s="4"/>
      <c r="H239" s="4"/>
    </row>
    <row r="240" spans="1:8">
      <c r="A240" s="4"/>
      <c r="B240" s="4"/>
      <c r="C240" s="4"/>
      <c r="F240" s="4"/>
      <c r="G240" s="4"/>
      <c r="H240" s="4"/>
    </row>
    <row r="241" spans="1:8">
      <c r="A241" s="4"/>
      <c r="B241" s="4"/>
      <c r="C241" s="4"/>
      <c r="F241" s="4"/>
      <c r="G241" s="4"/>
      <c r="H241" s="4"/>
    </row>
    <row r="242" spans="1:8">
      <c r="A242" s="4"/>
      <c r="B242" s="4"/>
      <c r="C242" s="4"/>
      <c r="F242" s="4"/>
      <c r="G242" s="4"/>
      <c r="H242" s="4"/>
    </row>
    <row r="243" spans="1:8">
      <c r="A243" s="4"/>
      <c r="B243" s="4"/>
      <c r="C243" s="4"/>
      <c r="F243" s="4"/>
      <c r="G243" s="4"/>
      <c r="H243" s="4"/>
    </row>
    <row r="244" spans="1:8">
      <c r="A244" s="4"/>
      <c r="B244" s="4"/>
      <c r="C244" s="4"/>
      <c r="F244" s="4"/>
      <c r="G244" s="4"/>
      <c r="H244" s="4"/>
    </row>
    <row r="245" spans="1:8">
      <c r="A245" s="4"/>
      <c r="B245" s="4"/>
      <c r="C245" s="4"/>
      <c r="F245" s="4"/>
      <c r="G245" s="4"/>
      <c r="H245" s="4"/>
    </row>
    <row r="246" spans="1:8">
      <c r="A246" s="4"/>
      <c r="B246" s="4"/>
      <c r="C246" s="4"/>
      <c r="F246" s="4"/>
      <c r="G246" s="4"/>
      <c r="H246" s="4"/>
    </row>
    <row r="247" spans="1:8">
      <c r="A247" s="4"/>
      <c r="B247" s="4"/>
      <c r="C247" s="4"/>
      <c r="F247" s="4"/>
      <c r="G247" s="4"/>
      <c r="H247" s="4"/>
    </row>
    <row r="248" spans="1:8">
      <c r="A248" s="4"/>
      <c r="B248" s="4"/>
      <c r="C248" s="4"/>
      <c r="F248" s="4"/>
      <c r="G248" s="4"/>
      <c r="H248" s="4"/>
    </row>
    <row r="249" spans="1:8">
      <c r="A249" s="4"/>
      <c r="B249" s="4"/>
      <c r="C249" s="4"/>
      <c r="F249" s="4"/>
      <c r="G249" s="4"/>
      <c r="H249" s="4"/>
    </row>
    <row r="250" spans="1:8">
      <c r="A250" s="4"/>
      <c r="B250" s="4"/>
      <c r="C250" s="4"/>
      <c r="F250" s="4"/>
      <c r="G250" s="4"/>
      <c r="H250" s="4"/>
    </row>
    <row r="251" spans="1:8">
      <c r="A251" s="4"/>
      <c r="B251" s="4"/>
      <c r="C251" s="4"/>
      <c r="F251" s="4"/>
      <c r="G251" s="4"/>
      <c r="H251" s="4"/>
    </row>
    <row r="252" spans="1:8">
      <c r="A252" s="4"/>
      <c r="B252" s="4"/>
      <c r="C252" s="4"/>
      <c r="F252" s="4"/>
      <c r="G252" s="4"/>
      <c r="H252" s="4"/>
    </row>
    <row r="253" spans="1:8">
      <c r="A253" s="4"/>
      <c r="B253" s="4"/>
      <c r="C253" s="4"/>
      <c r="F253" s="4"/>
      <c r="G253" s="4"/>
      <c r="H253" s="4"/>
    </row>
    <row r="254" spans="1:8">
      <c r="A254" s="4"/>
      <c r="B254" s="4"/>
      <c r="C254" s="4"/>
      <c r="F254" s="4"/>
      <c r="G254" s="4"/>
      <c r="H254" s="4"/>
    </row>
    <row r="255" spans="1:8">
      <c r="A255" s="4"/>
      <c r="B255" s="4"/>
      <c r="C255" s="4"/>
      <c r="F255" s="4"/>
      <c r="G255" s="4"/>
      <c r="H255" s="4"/>
    </row>
    <row r="256" spans="1:8">
      <c r="A256" s="4"/>
      <c r="B256" s="4"/>
      <c r="C256" s="4"/>
      <c r="F256" s="4"/>
      <c r="G256" s="4"/>
      <c r="H256" s="4"/>
    </row>
    <row r="257" spans="1:8">
      <c r="A257" s="4"/>
      <c r="B257" s="4"/>
      <c r="C257" s="4"/>
      <c r="F257" s="4"/>
      <c r="G257" s="4"/>
      <c r="H257" s="4"/>
    </row>
    <row r="258" spans="1:8">
      <c r="A258" s="4"/>
      <c r="B258" s="4"/>
      <c r="C258" s="4"/>
      <c r="F258" s="4"/>
      <c r="G258" s="4"/>
      <c r="H258" s="4"/>
    </row>
    <row r="259" spans="1:8">
      <c r="A259" s="4"/>
      <c r="B259" s="4"/>
      <c r="C259" s="4"/>
      <c r="F259" s="4"/>
      <c r="G259" s="4"/>
      <c r="H259" s="4"/>
    </row>
    <row r="260" spans="1:8">
      <c r="A260" s="4"/>
      <c r="B260" s="4"/>
      <c r="C260" s="4"/>
      <c r="F260" s="4"/>
      <c r="G260" s="4"/>
      <c r="H260" s="4"/>
    </row>
    <row r="261" spans="1:8">
      <c r="A261" s="4"/>
      <c r="B261" s="4"/>
      <c r="C261" s="4"/>
      <c r="F261" s="4"/>
      <c r="G261" s="4"/>
      <c r="H261" s="4"/>
    </row>
    <row r="262" spans="1:8">
      <c r="A262" s="4"/>
      <c r="B262" s="4"/>
      <c r="C262" s="4"/>
      <c r="F262" s="4"/>
      <c r="G262" s="4"/>
      <c r="H262" s="4"/>
    </row>
    <row r="263" spans="1:8">
      <c r="A263" s="4"/>
      <c r="B263" s="4"/>
      <c r="C263" s="4"/>
      <c r="F263" s="4"/>
      <c r="G263" s="4"/>
      <c r="H263" s="4"/>
    </row>
    <row r="264" spans="1:8">
      <c r="A264" s="4"/>
      <c r="B264" s="4"/>
      <c r="C264" s="4"/>
      <c r="F264" s="4"/>
      <c r="G264" s="4"/>
      <c r="H264" s="4"/>
    </row>
    <row r="265" spans="1:8">
      <c r="A265" s="4"/>
      <c r="B265" s="4"/>
      <c r="C265" s="4"/>
      <c r="F265" s="4"/>
      <c r="G265" s="4"/>
      <c r="H265" s="4"/>
    </row>
    <row r="266" spans="1:8">
      <c r="A266" s="4"/>
      <c r="B266" s="4"/>
      <c r="C266" s="4"/>
      <c r="F266" s="4"/>
      <c r="G266" s="4"/>
      <c r="H266" s="4"/>
    </row>
    <row r="267" spans="1:8">
      <c r="A267" s="4"/>
      <c r="B267" s="4"/>
      <c r="C267" s="4"/>
      <c r="F267" s="4"/>
      <c r="G267" s="4"/>
      <c r="H267" s="4"/>
    </row>
    <row r="268" spans="1:8">
      <c r="A268" s="4"/>
      <c r="B268" s="4"/>
      <c r="C268" s="4"/>
      <c r="F268" s="4"/>
      <c r="G268" s="4"/>
      <c r="H268" s="4"/>
    </row>
    <row r="269" spans="1:8">
      <c r="A269" s="4"/>
      <c r="B269" s="4"/>
      <c r="C269" s="4"/>
      <c r="F269" s="4"/>
      <c r="G269" s="4"/>
      <c r="H269" s="4"/>
    </row>
    <row r="270" spans="1:8">
      <c r="A270" s="4"/>
      <c r="B270" s="4"/>
      <c r="C270" s="4"/>
      <c r="F270" s="4"/>
      <c r="G270" s="4"/>
      <c r="H270" s="4"/>
    </row>
    <row r="271" spans="1:8">
      <c r="A271" s="4"/>
      <c r="B271" s="4"/>
      <c r="C271" s="4"/>
      <c r="F271" s="4"/>
      <c r="G271" s="4"/>
      <c r="H271" s="4"/>
    </row>
    <row r="272" spans="1:8">
      <c r="A272" s="4"/>
      <c r="B272" s="4"/>
      <c r="C272" s="4"/>
      <c r="F272" s="4"/>
      <c r="G272" s="4"/>
      <c r="H272" s="4"/>
    </row>
    <row r="273" spans="1:8">
      <c r="A273" s="4"/>
      <c r="B273" s="4"/>
      <c r="C273" s="4"/>
      <c r="F273" s="4"/>
      <c r="G273" s="4"/>
      <c r="H273" s="4"/>
    </row>
    <row r="274" spans="1:8">
      <c r="A274" s="4"/>
      <c r="B274" s="4"/>
      <c r="C274" s="4"/>
      <c r="F274" s="4"/>
      <c r="G274" s="4"/>
      <c r="H274" s="4"/>
    </row>
    <row r="275" spans="1:8">
      <c r="A275" s="4"/>
      <c r="B275" s="4"/>
      <c r="C275" s="4"/>
      <c r="F275" s="4"/>
      <c r="G275" s="4"/>
      <c r="H275" s="4"/>
    </row>
    <row r="276" spans="1:8">
      <c r="A276" s="4"/>
      <c r="B276" s="4"/>
      <c r="C276" s="4"/>
      <c r="F276" s="4"/>
      <c r="G276" s="4"/>
      <c r="H276" s="4"/>
    </row>
    <row r="277" spans="1:8">
      <c r="A277" s="4"/>
      <c r="B277" s="4"/>
      <c r="C277" s="4"/>
      <c r="F277" s="4"/>
      <c r="G277" s="4"/>
      <c r="H277" s="4"/>
    </row>
    <row r="278" spans="1:8">
      <c r="A278" s="4"/>
      <c r="B278" s="4"/>
      <c r="C278" s="4"/>
      <c r="F278" s="4"/>
      <c r="G278" s="4"/>
      <c r="H278" s="4"/>
    </row>
    <row r="279" spans="1:8">
      <c r="A279" s="4"/>
      <c r="B279" s="4"/>
      <c r="C279" s="4"/>
      <c r="F279" s="4"/>
      <c r="G279" s="4"/>
      <c r="H279" s="4"/>
    </row>
    <row r="280" spans="1:8">
      <c r="A280" s="4"/>
      <c r="B280" s="4"/>
      <c r="C280" s="4"/>
      <c r="F280" s="4"/>
      <c r="G280" s="4"/>
      <c r="H280" s="4"/>
    </row>
    <row r="281" spans="1:8">
      <c r="A281" s="4"/>
      <c r="B281" s="4"/>
      <c r="C281" s="4"/>
      <c r="F281" s="4"/>
      <c r="G281" s="4"/>
      <c r="H281" s="4"/>
    </row>
    <row r="282" spans="1:8">
      <c r="A282" s="4"/>
      <c r="B282" s="4"/>
      <c r="C282" s="4"/>
      <c r="F282" s="4"/>
      <c r="G282" s="4"/>
      <c r="H282" s="4"/>
    </row>
    <row r="283" spans="1:8">
      <c r="A283" s="4"/>
      <c r="B283" s="4"/>
      <c r="C283" s="4"/>
      <c r="F283" s="4"/>
      <c r="G283" s="4"/>
      <c r="H283" s="4"/>
    </row>
    <row r="284" spans="1:8">
      <c r="A284" s="4"/>
      <c r="B284" s="4"/>
      <c r="C284" s="4"/>
      <c r="F284" s="4"/>
      <c r="G284" s="4"/>
      <c r="H284" s="4"/>
    </row>
    <row r="285" spans="1:8">
      <c r="A285" s="4"/>
      <c r="B285" s="4"/>
      <c r="C285" s="4"/>
      <c r="F285" s="4"/>
      <c r="G285" s="4"/>
      <c r="H285" s="4"/>
    </row>
    <row r="286" spans="1:8">
      <c r="A286" s="4"/>
      <c r="B286" s="4"/>
      <c r="C286" s="4"/>
      <c r="F286" s="4"/>
      <c r="G286" s="4"/>
      <c r="H286" s="4"/>
    </row>
    <row r="287" spans="1:8">
      <c r="A287" s="4"/>
      <c r="B287" s="4"/>
      <c r="C287" s="4"/>
      <c r="F287" s="4"/>
      <c r="G287" s="4"/>
      <c r="H287" s="4"/>
    </row>
    <row r="288" spans="1:8">
      <c r="A288" s="4"/>
      <c r="B288" s="4"/>
      <c r="C288" s="4"/>
      <c r="F288" s="4"/>
      <c r="G288" s="4"/>
      <c r="H288" s="4"/>
    </row>
    <row r="289" spans="1:8">
      <c r="A289" s="4"/>
      <c r="B289" s="4"/>
      <c r="C289" s="4"/>
      <c r="F289" s="4"/>
      <c r="G289" s="4"/>
      <c r="H289" s="4"/>
    </row>
    <row r="290" spans="1:8">
      <c r="A290" s="4"/>
      <c r="B290" s="4"/>
      <c r="C290" s="4"/>
      <c r="F290" s="4"/>
      <c r="G290" s="4"/>
      <c r="H290" s="4"/>
    </row>
    <row r="291" spans="1:8">
      <c r="A291" s="4"/>
      <c r="B291" s="4"/>
      <c r="C291" s="4"/>
      <c r="F291" s="4"/>
      <c r="G291" s="4"/>
      <c r="H291" s="4"/>
    </row>
    <row r="292" spans="1:8">
      <c r="A292" s="4"/>
      <c r="B292" s="4"/>
      <c r="C292" s="4"/>
      <c r="F292" s="4"/>
      <c r="G292" s="4"/>
      <c r="H292" s="4"/>
    </row>
    <row r="293" spans="1:8">
      <c r="A293" s="4"/>
      <c r="B293" s="4"/>
      <c r="C293" s="4"/>
      <c r="F293" s="4"/>
      <c r="G293" s="4"/>
      <c r="H293" s="4"/>
    </row>
    <row r="294" spans="1:8">
      <c r="A294" s="4"/>
      <c r="B294" s="4"/>
      <c r="C294" s="4"/>
      <c r="F294" s="4"/>
      <c r="G294" s="4"/>
      <c r="H294" s="4"/>
    </row>
    <row r="295" spans="1:8">
      <c r="A295" s="4"/>
      <c r="B295" s="4"/>
      <c r="C295" s="4"/>
      <c r="F295" s="4"/>
      <c r="G295" s="4"/>
      <c r="H295" s="4"/>
    </row>
    <row r="296" spans="1:8">
      <c r="A296" s="4"/>
      <c r="B296" s="4"/>
      <c r="C296" s="4"/>
      <c r="F296" s="4"/>
      <c r="G296" s="4"/>
      <c r="H296" s="4"/>
    </row>
    <row r="297" spans="1:8">
      <c r="A297" s="4"/>
      <c r="B297" s="4"/>
      <c r="C297" s="4"/>
      <c r="F297" s="4"/>
      <c r="G297" s="4"/>
      <c r="H297" s="4"/>
    </row>
    <row r="298" spans="1:8">
      <c r="A298" s="4"/>
      <c r="B298" s="4"/>
      <c r="C298" s="4"/>
      <c r="F298" s="4"/>
      <c r="G298" s="4"/>
      <c r="H298" s="4"/>
    </row>
    <row r="299" spans="1:8">
      <c r="A299" s="4"/>
      <c r="B299" s="4"/>
      <c r="C299" s="4"/>
      <c r="F299" s="4"/>
      <c r="G299" s="4"/>
      <c r="H299" s="4"/>
    </row>
    <row r="300" spans="1:8">
      <c r="A300" s="4"/>
      <c r="B300" s="4"/>
      <c r="C300" s="4"/>
      <c r="F300" s="4"/>
      <c r="G300" s="4"/>
      <c r="H300" s="4"/>
    </row>
    <row r="301" spans="1:8">
      <c r="A301" s="4"/>
      <c r="B301" s="4"/>
      <c r="C301" s="4"/>
      <c r="F301" s="4"/>
      <c r="G301" s="4"/>
      <c r="H301" s="4"/>
    </row>
    <row r="302" spans="1:8">
      <c r="A302" s="4"/>
      <c r="B302" s="4"/>
      <c r="C302" s="4"/>
      <c r="F302" s="4"/>
      <c r="G302" s="4"/>
      <c r="H302" s="4"/>
    </row>
    <row r="303" spans="1:8">
      <c r="A303" s="4"/>
      <c r="B303" s="4"/>
      <c r="C303" s="4"/>
      <c r="F303" s="4"/>
      <c r="G303" s="4"/>
      <c r="H303" s="4"/>
    </row>
    <row r="304" spans="1:8">
      <c r="A304" s="4"/>
      <c r="B304" s="4"/>
      <c r="C304" s="4"/>
      <c r="F304" s="4"/>
      <c r="G304" s="4"/>
      <c r="H304" s="4"/>
    </row>
    <row r="305" spans="1:8">
      <c r="A305" s="4"/>
      <c r="B305" s="4"/>
      <c r="C305" s="4"/>
      <c r="F305" s="4"/>
      <c r="G305" s="4"/>
      <c r="H305" s="4"/>
    </row>
    <row r="306" spans="1:8">
      <c r="A306" s="4"/>
      <c r="B306" s="4"/>
      <c r="C306" s="4"/>
      <c r="F306" s="4"/>
      <c r="G306" s="4"/>
      <c r="H306" s="4"/>
    </row>
    <row r="307" spans="1:8">
      <c r="A307" s="4"/>
      <c r="B307" s="4"/>
      <c r="C307" s="4"/>
      <c r="F307" s="4"/>
      <c r="G307" s="4"/>
      <c r="H307" s="4"/>
    </row>
    <row r="308" spans="1:8">
      <c r="A308" s="4"/>
      <c r="B308" s="4"/>
      <c r="C308" s="4"/>
      <c r="F308" s="4"/>
      <c r="G308" s="4"/>
      <c r="H308" s="4"/>
    </row>
    <row r="309" spans="1:8">
      <c r="A309" s="4"/>
      <c r="B309" s="4"/>
      <c r="C309" s="4"/>
      <c r="F309" s="4"/>
      <c r="G309" s="4"/>
      <c r="H309" s="4"/>
    </row>
    <row r="310" spans="1:8">
      <c r="A310" s="4"/>
      <c r="B310" s="4"/>
      <c r="C310" s="4"/>
      <c r="F310" s="4"/>
      <c r="G310" s="4"/>
      <c r="H310" s="4"/>
    </row>
    <row r="311" spans="1:8">
      <c r="A311" s="4"/>
      <c r="B311" s="4"/>
      <c r="C311" s="4"/>
      <c r="F311" s="4"/>
      <c r="G311" s="4"/>
      <c r="H311" s="4"/>
    </row>
    <row r="312" spans="1:8">
      <c r="A312" s="4"/>
      <c r="B312" s="4"/>
      <c r="C312" s="4"/>
      <c r="F312" s="4"/>
      <c r="G312" s="4"/>
      <c r="H312" s="4"/>
    </row>
    <row r="313" spans="1:8">
      <c r="A313" s="4"/>
      <c r="B313" s="4"/>
      <c r="C313" s="4"/>
      <c r="F313" s="4"/>
      <c r="G313" s="4"/>
      <c r="H313" s="4"/>
    </row>
    <row r="314" spans="1:8">
      <c r="A314" s="4"/>
      <c r="B314" s="4"/>
      <c r="C314" s="4"/>
      <c r="F314" s="4"/>
      <c r="G314" s="4"/>
      <c r="H314" s="4"/>
    </row>
    <row r="315" spans="1:8">
      <c r="A315" s="4"/>
      <c r="B315" s="4"/>
      <c r="C315" s="4"/>
      <c r="F315" s="4"/>
      <c r="G315" s="4"/>
      <c r="H315" s="4"/>
    </row>
    <row r="316" spans="1:8">
      <c r="A316" s="4"/>
      <c r="B316" s="4"/>
      <c r="C316" s="4"/>
      <c r="F316" s="4"/>
      <c r="G316" s="4"/>
      <c r="H316" s="4"/>
    </row>
    <row r="317" spans="1:8">
      <c r="A317" s="4"/>
      <c r="B317" s="4"/>
      <c r="C317" s="4"/>
      <c r="F317" s="4"/>
      <c r="G317" s="4"/>
      <c r="H317" s="4"/>
    </row>
    <row r="318" spans="1:8">
      <c r="A318" s="4"/>
      <c r="B318" s="4"/>
      <c r="C318" s="4"/>
      <c r="F318" s="4"/>
      <c r="G318" s="4"/>
      <c r="H318" s="4"/>
    </row>
    <row r="319" spans="1:8">
      <c r="A319" s="4"/>
      <c r="B319" s="4"/>
      <c r="C319" s="4"/>
      <c r="F319" s="4"/>
      <c r="G319" s="4"/>
      <c r="H319" s="4"/>
    </row>
    <row r="320" spans="1:8">
      <c r="A320" s="4"/>
      <c r="B320" s="4"/>
      <c r="C320" s="4"/>
      <c r="F320" s="4"/>
      <c r="G320" s="4"/>
      <c r="H320" s="4"/>
    </row>
    <row r="321" spans="1:8">
      <c r="A321" s="4"/>
      <c r="B321" s="4"/>
      <c r="C321" s="4"/>
      <c r="F321" s="4"/>
      <c r="G321" s="4"/>
      <c r="H321" s="4"/>
    </row>
    <row r="322" spans="1:8">
      <c r="A322" s="4"/>
      <c r="B322" s="4"/>
      <c r="C322" s="4"/>
      <c r="F322" s="4"/>
      <c r="G322" s="4"/>
      <c r="H322" s="4"/>
    </row>
    <row r="323" spans="1:8">
      <c r="A323" s="4"/>
      <c r="B323" s="4"/>
      <c r="C323" s="4"/>
      <c r="F323" s="4"/>
      <c r="G323" s="4"/>
      <c r="H323" s="4"/>
    </row>
    <row r="324" spans="1:8">
      <c r="A324" s="4"/>
      <c r="B324" s="4"/>
      <c r="C324" s="4"/>
      <c r="F324" s="4"/>
      <c r="G324" s="4"/>
      <c r="H324" s="4"/>
    </row>
    <row r="325" spans="1:8">
      <c r="A325" s="4"/>
      <c r="B325" s="4"/>
      <c r="C325" s="4"/>
      <c r="F325" s="4"/>
      <c r="G325" s="4"/>
      <c r="H325" s="4"/>
    </row>
    <row r="326" spans="1:8">
      <c r="A326" s="4"/>
      <c r="B326" s="4"/>
      <c r="C326" s="4"/>
      <c r="F326" s="4"/>
      <c r="G326" s="4"/>
      <c r="H326" s="4"/>
    </row>
    <row r="327" spans="1:8">
      <c r="A327" s="4"/>
      <c r="B327" s="4"/>
      <c r="C327" s="4"/>
      <c r="F327" s="4"/>
      <c r="G327" s="4"/>
      <c r="H327" s="4"/>
    </row>
    <row r="328" spans="1:8">
      <c r="A328" s="4"/>
      <c r="B328" s="4"/>
      <c r="C328" s="4"/>
      <c r="F328" s="4"/>
      <c r="G328" s="4"/>
      <c r="H328" s="4"/>
    </row>
    <row r="329" spans="1:8">
      <c r="A329" s="4"/>
      <c r="B329" s="4"/>
      <c r="C329" s="4"/>
      <c r="F329" s="4"/>
      <c r="G329" s="4"/>
      <c r="H329" s="4"/>
    </row>
    <row r="330" spans="1:8">
      <c r="A330" s="4"/>
      <c r="B330" s="4"/>
      <c r="C330" s="4"/>
      <c r="F330" s="4"/>
      <c r="G330" s="4"/>
      <c r="H330" s="4"/>
    </row>
    <row r="331" spans="1:8">
      <c r="A331" s="4"/>
      <c r="B331" s="4"/>
      <c r="C331" s="4"/>
      <c r="F331" s="4"/>
      <c r="G331" s="4"/>
      <c r="H331" s="4"/>
    </row>
    <row r="332" spans="1:8">
      <c r="A332" s="4"/>
      <c r="B332" s="4"/>
      <c r="C332" s="4"/>
      <c r="F332" s="4"/>
      <c r="G332" s="4"/>
      <c r="H332" s="4"/>
    </row>
    <row r="333" spans="1:8">
      <c r="A333" s="4"/>
      <c r="B333" s="4"/>
      <c r="C333" s="4"/>
      <c r="F333" s="4"/>
      <c r="G333" s="4"/>
      <c r="H333" s="4"/>
    </row>
    <row r="334" spans="1:8">
      <c r="A334" s="4"/>
      <c r="B334" s="4"/>
      <c r="C334" s="4"/>
      <c r="F334" s="4"/>
      <c r="G334" s="4"/>
      <c r="H334" s="4"/>
    </row>
    <row r="335" spans="1:8">
      <c r="A335" s="4"/>
      <c r="B335" s="4"/>
      <c r="C335" s="4"/>
      <c r="F335" s="4"/>
      <c r="G335" s="4"/>
      <c r="H335" s="4"/>
    </row>
    <row r="336" spans="1:8">
      <c r="A336" s="4"/>
      <c r="B336" s="4"/>
      <c r="C336" s="4"/>
      <c r="F336" s="4"/>
      <c r="G336" s="4"/>
      <c r="H336" s="4"/>
    </row>
    <row r="337" spans="1:8">
      <c r="A337" s="4"/>
      <c r="B337" s="4"/>
      <c r="C337" s="4"/>
      <c r="F337" s="4"/>
      <c r="G337" s="4"/>
      <c r="H337" s="4"/>
    </row>
    <row r="338" spans="1:8">
      <c r="A338" s="4"/>
      <c r="B338" s="4"/>
      <c r="C338" s="4"/>
      <c r="F338" s="4"/>
      <c r="G338" s="4"/>
      <c r="H338" s="4"/>
    </row>
    <row r="339" spans="1:8">
      <c r="A339" s="4"/>
      <c r="B339" s="4"/>
      <c r="C339" s="4"/>
      <c r="F339" s="4"/>
      <c r="G339" s="4"/>
      <c r="H339" s="4"/>
    </row>
    <row r="340" spans="1:8">
      <c r="A340" s="4"/>
      <c r="B340" s="4"/>
      <c r="C340" s="4"/>
      <c r="F340" s="4"/>
      <c r="G340" s="4"/>
      <c r="H340" s="4"/>
    </row>
    <row r="341" spans="1:8">
      <c r="A341" s="4"/>
      <c r="B341" s="4"/>
      <c r="C341" s="4"/>
      <c r="F341" s="4"/>
      <c r="G341" s="4"/>
      <c r="H341" s="4"/>
    </row>
    <row r="342" spans="1:8">
      <c r="A342" s="4"/>
      <c r="B342" s="4"/>
      <c r="C342" s="4"/>
      <c r="F342" s="4"/>
      <c r="G342" s="4"/>
      <c r="H342" s="4"/>
    </row>
    <row r="343" spans="1:8">
      <c r="A343" s="4"/>
      <c r="B343" s="4"/>
      <c r="C343" s="4"/>
      <c r="F343" s="4"/>
      <c r="G343" s="4"/>
      <c r="H343" s="4"/>
    </row>
    <row r="344" spans="1:8">
      <c r="A344" s="4"/>
      <c r="B344" s="4"/>
      <c r="C344" s="4"/>
      <c r="F344" s="4"/>
      <c r="G344" s="4"/>
      <c r="H344" s="4"/>
    </row>
    <row r="345" spans="1:8">
      <c r="A345" s="4"/>
      <c r="B345" s="4"/>
      <c r="C345" s="4"/>
      <c r="F345" s="4"/>
      <c r="G345" s="4"/>
      <c r="H345" s="4"/>
    </row>
    <row r="346" spans="1:8">
      <c r="A346" s="4"/>
      <c r="B346" s="4"/>
      <c r="C346" s="4"/>
      <c r="F346" s="4"/>
      <c r="G346" s="4"/>
      <c r="H346" s="4"/>
    </row>
    <row r="347" spans="1:8">
      <c r="A347" s="4"/>
      <c r="B347" s="4"/>
      <c r="C347" s="4"/>
      <c r="F347" s="4"/>
      <c r="G347" s="4"/>
      <c r="H347" s="4"/>
    </row>
    <row r="348" spans="1:8">
      <c r="A348" s="4"/>
      <c r="B348" s="4"/>
      <c r="C348" s="4"/>
      <c r="F348" s="4"/>
      <c r="G348" s="4"/>
      <c r="H348" s="4"/>
    </row>
    <row r="349" spans="1:8">
      <c r="A349" s="4"/>
      <c r="B349" s="4"/>
      <c r="C349" s="4"/>
      <c r="F349" s="4"/>
      <c r="G349" s="4"/>
      <c r="H349" s="4"/>
    </row>
    <row r="350" spans="1:8">
      <c r="A350" s="4"/>
      <c r="B350" s="4"/>
      <c r="C350" s="4"/>
      <c r="F350" s="4"/>
      <c r="G350" s="4"/>
      <c r="H350" s="4"/>
    </row>
    <row r="351" spans="1:8">
      <c r="A351" s="4"/>
      <c r="B351" s="4"/>
      <c r="C351" s="4"/>
      <c r="F351" s="4"/>
      <c r="G351" s="4"/>
      <c r="H351" s="4"/>
    </row>
    <row r="352" spans="1:8">
      <c r="A352" s="4"/>
      <c r="B352" s="4"/>
      <c r="C352" s="4"/>
      <c r="F352" s="4"/>
      <c r="G352" s="4"/>
      <c r="H352" s="4"/>
    </row>
    <row r="353" spans="1:8">
      <c r="A353" s="4"/>
      <c r="B353" s="4"/>
      <c r="C353" s="4"/>
      <c r="F353" s="4"/>
      <c r="G353" s="4"/>
      <c r="H353" s="4"/>
    </row>
    <row r="354" spans="1:8">
      <c r="A354" s="4"/>
      <c r="B354" s="4"/>
      <c r="C354" s="4"/>
      <c r="F354" s="4"/>
      <c r="G354" s="4"/>
      <c r="H354" s="4"/>
    </row>
    <row r="355" spans="1:8">
      <c r="A355" s="4"/>
      <c r="B355" s="4"/>
      <c r="C355" s="4"/>
      <c r="F355" s="4"/>
      <c r="G355" s="4"/>
      <c r="H355" s="4"/>
    </row>
    <row r="356" spans="1:8">
      <c r="A356" s="4"/>
      <c r="B356" s="4"/>
      <c r="C356" s="4"/>
      <c r="F356" s="4"/>
      <c r="G356" s="4"/>
      <c r="H356" s="4"/>
    </row>
    <row r="357" spans="1:8">
      <c r="A357" s="4"/>
      <c r="B357" s="4"/>
      <c r="C357" s="4"/>
      <c r="F357" s="4"/>
      <c r="G357" s="4"/>
      <c r="H357" s="4"/>
    </row>
    <row r="358" spans="1:8">
      <c r="A358" s="4"/>
      <c r="B358" s="4"/>
      <c r="C358" s="4"/>
      <c r="F358" s="4"/>
      <c r="G358" s="4"/>
      <c r="H358" s="4"/>
    </row>
    <row r="359" spans="1:8">
      <c r="A359" s="4"/>
      <c r="B359" s="4"/>
      <c r="C359" s="4"/>
      <c r="F359" s="4"/>
      <c r="G359" s="4"/>
      <c r="H359" s="4"/>
    </row>
    <row r="360" spans="1:8">
      <c r="A360" s="4"/>
      <c r="B360" s="4"/>
      <c r="C360" s="4"/>
      <c r="F360" s="4"/>
      <c r="G360" s="4"/>
      <c r="H360" s="4"/>
    </row>
    <row r="361" spans="1:8">
      <c r="A361" s="4"/>
      <c r="B361" s="4"/>
      <c r="C361" s="4"/>
      <c r="F361" s="4"/>
      <c r="G361" s="4"/>
      <c r="H361" s="4"/>
    </row>
    <row r="362" spans="1:8">
      <c r="A362" s="4"/>
      <c r="B362" s="4"/>
      <c r="C362" s="4"/>
      <c r="F362" s="4"/>
      <c r="G362" s="4"/>
      <c r="H362" s="4"/>
    </row>
    <row r="363" spans="1:8">
      <c r="A363" s="4"/>
      <c r="B363" s="4"/>
      <c r="C363" s="4"/>
      <c r="F363" s="4"/>
      <c r="G363" s="4"/>
      <c r="H363" s="4"/>
    </row>
    <row r="364" spans="1:8">
      <c r="A364" s="4"/>
      <c r="B364" s="4"/>
      <c r="C364" s="4"/>
      <c r="F364" s="4"/>
      <c r="G364" s="4"/>
      <c r="H364" s="4"/>
    </row>
    <row r="365" spans="1:8">
      <c r="A365" s="4"/>
      <c r="B365" s="4"/>
      <c r="C365" s="4"/>
      <c r="F365" s="4"/>
      <c r="G365" s="4"/>
      <c r="H365" s="4"/>
    </row>
    <row r="366" spans="1:8">
      <c r="A366" s="4"/>
      <c r="B366" s="4"/>
      <c r="C366" s="4"/>
      <c r="F366" s="4"/>
      <c r="G366" s="4"/>
      <c r="H366" s="4"/>
    </row>
    <row r="367" spans="1:8">
      <c r="A367" s="4"/>
      <c r="B367" s="4"/>
      <c r="C367" s="4"/>
      <c r="F367" s="4"/>
      <c r="G367" s="4"/>
      <c r="H367" s="4"/>
    </row>
    <row r="368" spans="1:8">
      <c r="A368" s="4"/>
      <c r="B368" s="4"/>
      <c r="C368" s="4"/>
      <c r="F368" s="4"/>
      <c r="G368" s="4"/>
      <c r="H368" s="4"/>
    </row>
    <row r="369" spans="1:8">
      <c r="A369" s="4"/>
      <c r="B369" s="4"/>
      <c r="C369" s="4"/>
      <c r="F369" s="4"/>
      <c r="G369" s="4"/>
      <c r="H369" s="4"/>
    </row>
    <row r="370" spans="1:8">
      <c r="A370" s="4"/>
      <c r="B370" s="4"/>
      <c r="C370" s="4"/>
      <c r="F370" s="4"/>
      <c r="G370" s="4"/>
      <c r="H370" s="4"/>
    </row>
    <row r="371" spans="1:8">
      <c r="A371" s="4"/>
      <c r="B371" s="4"/>
      <c r="C371" s="4"/>
      <c r="F371" s="4"/>
      <c r="G371" s="4"/>
      <c r="H371" s="4"/>
    </row>
    <row r="372" spans="1:8">
      <c r="A372" s="4"/>
      <c r="B372" s="4"/>
      <c r="C372" s="4"/>
      <c r="F372" s="4"/>
      <c r="G372" s="4"/>
      <c r="H372" s="4"/>
    </row>
    <row r="373" spans="1:8">
      <c r="A373" s="4"/>
      <c r="B373" s="4"/>
      <c r="C373" s="4"/>
      <c r="F373" s="4"/>
      <c r="G373" s="4"/>
      <c r="H373" s="4"/>
    </row>
    <row r="374" spans="1:8">
      <c r="A374" s="4"/>
      <c r="B374" s="4"/>
      <c r="C374" s="4"/>
      <c r="F374" s="4"/>
      <c r="G374" s="4"/>
      <c r="H374" s="4"/>
    </row>
    <row r="375" spans="1:8">
      <c r="A375" s="4"/>
      <c r="B375" s="4"/>
      <c r="C375" s="4"/>
      <c r="F375" s="4"/>
      <c r="G375" s="4"/>
      <c r="H375" s="4"/>
    </row>
    <row r="376" spans="1:8">
      <c r="A376" s="4"/>
      <c r="B376" s="4"/>
      <c r="C376" s="4"/>
      <c r="F376" s="4"/>
      <c r="G376" s="4"/>
      <c r="H376" s="4"/>
    </row>
    <row r="377" spans="1:8">
      <c r="A377" s="4"/>
      <c r="B377" s="4"/>
      <c r="C377" s="4"/>
      <c r="F377" s="4"/>
      <c r="G377" s="4"/>
      <c r="H377" s="4"/>
    </row>
    <row r="378" spans="1:8">
      <c r="A378" s="4"/>
      <c r="B378" s="4"/>
      <c r="C378" s="4"/>
      <c r="F378" s="4"/>
      <c r="G378" s="4"/>
      <c r="H378" s="4"/>
    </row>
    <row r="379" spans="1:8">
      <c r="A379" s="4"/>
      <c r="B379" s="4"/>
      <c r="C379" s="4"/>
      <c r="F379" s="4"/>
      <c r="G379" s="4"/>
      <c r="H379" s="4"/>
    </row>
    <row r="380" spans="1:8">
      <c r="A380" s="4"/>
      <c r="B380" s="4"/>
      <c r="C380" s="4"/>
      <c r="F380" s="4"/>
      <c r="G380" s="4"/>
      <c r="H380" s="4"/>
    </row>
    <row r="381" spans="1:8">
      <c r="A381" s="4"/>
      <c r="B381" s="4"/>
      <c r="C381" s="4"/>
      <c r="F381" s="4"/>
      <c r="G381" s="4"/>
      <c r="H381" s="4"/>
    </row>
    <row r="382" spans="1:8">
      <c r="A382" s="4"/>
      <c r="B382" s="4"/>
      <c r="C382" s="4"/>
      <c r="F382" s="4"/>
      <c r="G382" s="4"/>
      <c r="H382" s="4"/>
    </row>
    <row r="383" spans="1:8">
      <c r="A383" s="4"/>
      <c r="B383" s="4"/>
      <c r="C383" s="4"/>
      <c r="F383" s="4"/>
      <c r="G383" s="4"/>
      <c r="H383" s="4"/>
    </row>
    <row r="384" spans="1:8">
      <c r="A384" s="4"/>
      <c r="B384" s="4"/>
      <c r="C384" s="4"/>
      <c r="F384" s="4"/>
      <c r="G384" s="4"/>
      <c r="H384" s="4"/>
    </row>
    <row r="385" spans="1:8">
      <c r="A385" s="4"/>
      <c r="B385" s="4"/>
      <c r="C385" s="4"/>
      <c r="F385" s="4"/>
      <c r="G385" s="4"/>
      <c r="H385" s="4"/>
    </row>
    <row r="386" spans="1:8">
      <c r="A386" s="4"/>
      <c r="B386" s="4"/>
      <c r="C386" s="4"/>
      <c r="F386" s="4"/>
      <c r="G386" s="4"/>
      <c r="H386" s="4"/>
    </row>
    <row r="387" spans="1:8">
      <c r="A387" s="4"/>
      <c r="B387" s="4"/>
      <c r="C387" s="4"/>
      <c r="F387" s="4"/>
      <c r="G387" s="4"/>
      <c r="H387" s="4"/>
    </row>
    <row r="388" spans="1:8">
      <c r="A388" s="4"/>
      <c r="B388" s="4"/>
      <c r="C388" s="4"/>
      <c r="F388" s="4"/>
      <c r="G388" s="4"/>
      <c r="H388" s="4"/>
    </row>
    <row r="389" spans="1:8">
      <c r="A389" s="4"/>
      <c r="B389" s="4"/>
      <c r="C389" s="4"/>
      <c r="F389" s="4"/>
      <c r="G389" s="4"/>
      <c r="H389" s="4"/>
    </row>
    <row r="390" spans="1:8">
      <c r="A390" s="4"/>
      <c r="B390" s="4"/>
      <c r="C390" s="4"/>
      <c r="F390" s="4"/>
      <c r="G390" s="4"/>
      <c r="H390" s="4"/>
    </row>
    <row r="391" spans="1:8">
      <c r="A391" s="4"/>
      <c r="B391" s="4"/>
      <c r="C391" s="4"/>
      <c r="F391" s="4"/>
      <c r="G391" s="4"/>
      <c r="H391" s="4"/>
    </row>
    <row r="392" spans="1:8">
      <c r="A392" s="4"/>
      <c r="B392" s="4"/>
      <c r="C392" s="4"/>
      <c r="F392" s="4"/>
      <c r="G392" s="4"/>
      <c r="H392" s="4"/>
    </row>
    <row r="393" spans="1:8">
      <c r="A393" s="4"/>
      <c r="B393" s="4"/>
      <c r="C393" s="4"/>
      <c r="F393" s="4"/>
      <c r="G393" s="4"/>
      <c r="H393" s="4"/>
    </row>
    <row r="394" spans="1:8">
      <c r="A394" s="4"/>
      <c r="B394" s="4"/>
      <c r="C394" s="4"/>
      <c r="F394" s="4"/>
      <c r="G394" s="4"/>
      <c r="H394" s="4"/>
    </row>
    <row r="395" spans="1:8">
      <c r="A395" s="4"/>
      <c r="B395" s="4"/>
      <c r="C395" s="4"/>
      <c r="F395" s="4"/>
      <c r="G395" s="4"/>
      <c r="H395" s="4"/>
    </row>
    <row r="396" spans="1:8">
      <c r="A396" s="4"/>
      <c r="B396" s="4"/>
      <c r="C396" s="4"/>
      <c r="F396" s="4"/>
      <c r="G396" s="4"/>
      <c r="H396" s="4"/>
    </row>
    <row r="397" spans="1:8">
      <c r="A397" s="4"/>
      <c r="B397" s="4"/>
      <c r="C397" s="4"/>
      <c r="F397" s="4"/>
      <c r="G397" s="4"/>
      <c r="H397" s="4"/>
    </row>
    <row r="398" spans="1:8">
      <c r="A398" s="4"/>
      <c r="B398" s="4"/>
      <c r="C398" s="4"/>
      <c r="F398" s="4"/>
      <c r="G398" s="4"/>
      <c r="H398" s="4"/>
    </row>
    <row r="399" spans="1:8">
      <c r="A399" s="4"/>
      <c r="B399" s="4"/>
      <c r="C399" s="4"/>
      <c r="F399" s="4"/>
      <c r="G399" s="4"/>
      <c r="H399" s="4"/>
    </row>
    <row r="400" spans="1:8">
      <c r="A400" s="4"/>
      <c r="B400" s="4"/>
      <c r="C400" s="4"/>
      <c r="F400" s="4"/>
      <c r="G400" s="4"/>
      <c r="H400" s="4"/>
    </row>
    <row r="401" spans="1:8">
      <c r="A401" s="4"/>
      <c r="B401" s="4"/>
      <c r="C401" s="4"/>
      <c r="F401" s="4"/>
      <c r="G401" s="4"/>
      <c r="H401" s="4"/>
    </row>
    <row r="402" spans="1:8">
      <c r="A402" s="4"/>
      <c r="B402" s="4"/>
      <c r="C402" s="4"/>
      <c r="F402" s="4"/>
      <c r="G402" s="4"/>
      <c r="H402" s="4"/>
    </row>
    <row r="403" spans="1:8">
      <c r="A403" s="4"/>
      <c r="B403" s="4"/>
      <c r="C403" s="4"/>
      <c r="F403" s="4"/>
      <c r="G403" s="4"/>
      <c r="H403" s="4"/>
    </row>
    <row r="404" spans="1:8">
      <c r="A404" s="4"/>
      <c r="B404" s="4"/>
      <c r="C404" s="4"/>
      <c r="F404" s="4"/>
      <c r="G404" s="4"/>
      <c r="H404" s="4"/>
    </row>
    <row r="405" spans="1:8">
      <c r="A405" s="4"/>
      <c r="B405" s="4"/>
      <c r="C405" s="4"/>
      <c r="F405" s="4"/>
      <c r="G405" s="4"/>
      <c r="H405" s="4"/>
    </row>
    <row r="406" spans="1:8">
      <c r="A406" s="4"/>
      <c r="B406" s="4"/>
      <c r="C406" s="4"/>
      <c r="F406" s="4"/>
      <c r="G406" s="4"/>
      <c r="H406" s="4"/>
    </row>
    <row r="407" spans="1:8">
      <c r="A407" s="4"/>
      <c r="B407" s="4"/>
      <c r="C407" s="4"/>
      <c r="F407" s="4"/>
      <c r="G407" s="4"/>
      <c r="H407" s="4"/>
    </row>
    <row r="408" spans="1:8">
      <c r="A408" s="4"/>
      <c r="B408" s="4"/>
      <c r="C408" s="4"/>
      <c r="F408" s="4"/>
      <c r="G408" s="4"/>
      <c r="H408" s="4"/>
    </row>
    <row r="409" spans="1:8">
      <c r="A409" s="4"/>
      <c r="B409" s="4"/>
      <c r="C409" s="4"/>
      <c r="F409" s="4"/>
      <c r="G409" s="4"/>
      <c r="H409" s="4"/>
    </row>
    <row r="410" spans="1:8">
      <c r="A410" s="4"/>
      <c r="B410" s="4"/>
      <c r="C410" s="4"/>
      <c r="F410" s="4"/>
      <c r="G410" s="4"/>
      <c r="H410" s="4"/>
    </row>
    <row r="411" spans="1:8">
      <c r="A411" s="4"/>
      <c r="B411" s="4"/>
      <c r="C411" s="4"/>
      <c r="F411" s="4"/>
      <c r="G411" s="4"/>
      <c r="H411" s="4"/>
    </row>
    <row r="412" spans="1:8">
      <c r="A412" s="4"/>
      <c r="B412" s="4"/>
      <c r="C412" s="4"/>
      <c r="F412" s="4"/>
      <c r="G412" s="4"/>
      <c r="H412" s="4"/>
    </row>
    <row r="413" spans="1:8">
      <c r="A413" s="4"/>
      <c r="B413" s="4"/>
      <c r="C413" s="4"/>
      <c r="F413" s="4"/>
      <c r="G413" s="4"/>
      <c r="H413" s="4"/>
    </row>
    <row r="414" spans="1:8">
      <c r="A414" s="4"/>
      <c r="B414" s="4"/>
      <c r="C414" s="4"/>
      <c r="F414" s="4"/>
      <c r="G414" s="4"/>
      <c r="H414" s="4"/>
    </row>
    <row r="415" spans="1:8">
      <c r="A415" s="4"/>
      <c r="B415" s="4"/>
      <c r="C415" s="4"/>
      <c r="F415" s="4"/>
      <c r="G415" s="4"/>
      <c r="H415" s="4"/>
    </row>
    <row r="416" spans="1:8">
      <c r="A416" s="4"/>
      <c r="B416" s="4"/>
      <c r="C416" s="4"/>
      <c r="F416" s="4"/>
      <c r="G416" s="4"/>
      <c r="H416" s="4"/>
    </row>
    <row r="417" spans="1:8">
      <c r="A417" s="4"/>
      <c r="B417" s="4"/>
      <c r="C417" s="4"/>
      <c r="F417" s="4"/>
      <c r="G417" s="4"/>
      <c r="H417" s="4"/>
    </row>
    <row r="418" spans="1:8">
      <c r="A418" s="4"/>
      <c r="B418" s="4"/>
      <c r="C418" s="4"/>
      <c r="F418" s="4"/>
      <c r="G418" s="4"/>
      <c r="H418" s="4"/>
    </row>
    <row r="419" spans="1:8">
      <c r="A419" s="4"/>
      <c r="B419" s="4"/>
      <c r="C419" s="4"/>
      <c r="F419" s="4"/>
      <c r="G419" s="4"/>
      <c r="H419" s="4"/>
    </row>
    <row r="420" spans="1:8">
      <c r="A420" s="4"/>
      <c r="B420" s="4"/>
      <c r="C420" s="4"/>
      <c r="F420" s="4"/>
      <c r="G420" s="4"/>
      <c r="H420" s="4"/>
    </row>
    <row r="421" spans="1:8">
      <c r="A421" s="4"/>
      <c r="B421" s="4"/>
      <c r="C421" s="4"/>
      <c r="F421" s="4"/>
      <c r="G421" s="4"/>
      <c r="H421" s="4"/>
    </row>
    <row r="422" spans="1:8">
      <c r="A422" s="4"/>
      <c r="B422" s="4"/>
      <c r="C422" s="4"/>
      <c r="F422" s="4"/>
      <c r="G422" s="4"/>
      <c r="H422" s="4"/>
    </row>
    <row r="423" spans="1:8">
      <c r="A423" s="4"/>
      <c r="B423" s="4"/>
      <c r="C423" s="4"/>
      <c r="F423" s="4"/>
      <c r="G423" s="4"/>
      <c r="H423" s="4"/>
    </row>
    <row r="424" spans="1:8">
      <c r="A424" s="4"/>
      <c r="B424" s="4"/>
      <c r="C424" s="4"/>
      <c r="F424" s="4"/>
      <c r="G424" s="4"/>
      <c r="H424" s="4"/>
    </row>
    <row r="425" spans="1:8">
      <c r="A425" s="4"/>
      <c r="B425" s="4"/>
      <c r="C425" s="4"/>
      <c r="F425" s="4"/>
      <c r="G425" s="4"/>
      <c r="H425" s="4"/>
    </row>
    <row r="426" spans="1:8">
      <c r="A426" s="4"/>
      <c r="B426" s="4"/>
      <c r="C426" s="4"/>
      <c r="F426" s="4"/>
      <c r="G426" s="4"/>
      <c r="H426" s="4"/>
    </row>
    <row r="427" spans="1:8">
      <c r="A427" s="4"/>
      <c r="B427" s="4"/>
      <c r="C427" s="4"/>
      <c r="F427" s="4"/>
      <c r="G427" s="4"/>
      <c r="H427" s="4"/>
    </row>
    <row r="428" spans="1:8">
      <c r="A428" s="4"/>
      <c r="B428" s="4"/>
      <c r="C428" s="4"/>
      <c r="F428" s="4"/>
      <c r="G428" s="4"/>
      <c r="H428" s="4"/>
    </row>
    <row r="429" spans="1:8">
      <c r="A429" s="4"/>
      <c r="B429" s="4"/>
      <c r="C429" s="4"/>
      <c r="F429" s="4"/>
      <c r="G429" s="4"/>
      <c r="H429" s="4"/>
    </row>
    <row r="430" spans="1:8">
      <c r="A430" s="4"/>
      <c r="B430" s="4"/>
      <c r="C430" s="4"/>
      <c r="F430" s="4"/>
      <c r="G430" s="4"/>
      <c r="H430" s="4"/>
    </row>
    <row r="431" spans="1:8">
      <c r="A431" s="4"/>
      <c r="B431" s="4"/>
      <c r="C431" s="4"/>
      <c r="F431" s="4"/>
      <c r="G431" s="4"/>
      <c r="H431" s="4"/>
    </row>
    <row r="432" spans="1:8">
      <c r="A432" s="4"/>
      <c r="B432" s="4"/>
      <c r="C432" s="4"/>
      <c r="F432" s="4"/>
      <c r="G432" s="4"/>
      <c r="H432" s="4"/>
    </row>
    <row r="433" spans="1:8">
      <c r="A433" s="4"/>
      <c r="B433" s="4"/>
      <c r="C433" s="4"/>
      <c r="F433" s="4"/>
      <c r="G433" s="4"/>
      <c r="H433" s="4"/>
    </row>
    <row r="434" spans="1:8">
      <c r="A434" s="4"/>
      <c r="B434" s="4"/>
      <c r="C434" s="4"/>
      <c r="F434" s="4"/>
      <c r="G434" s="4"/>
      <c r="H434" s="4"/>
    </row>
    <row r="435" spans="1:8">
      <c r="A435" s="4"/>
      <c r="B435" s="4"/>
      <c r="C435" s="4"/>
      <c r="F435" s="4"/>
      <c r="G435" s="4"/>
      <c r="H435" s="4"/>
    </row>
    <row r="436" spans="1:8">
      <c r="A436" s="4"/>
      <c r="B436" s="4"/>
      <c r="C436" s="4"/>
      <c r="F436" s="4"/>
      <c r="G436" s="4"/>
      <c r="H436" s="4"/>
    </row>
    <row r="437" spans="1:8">
      <c r="A437" s="4"/>
      <c r="B437" s="4"/>
      <c r="C437" s="4"/>
      <c r="F437" s="4"/>
      <c r="G437" s="4"/>
      <c r="H437" s="4"/>
    </row>
    <row r="438" spans="1:8">
      <c r="A438" s="4"/>
      <c r="B438" s="4"/>
      <c r="C438" s="4"/>
      <c r="F438" s="4"/>
      <c r="G438" s="4"/>
      <c r="H438" s="4"/>
    </row>
    <row r="439" spans="1:8">
      <c r="A439" s="4"/>
      <c r="B439" s="4"/>
      <c r="C439" s="4"/>
      <c r="F439" s="4"/>
      <c r="G439" s="4"/>
      <c r="H439" s="4"/>
    </row>
    <row r="440" spans="1:8">
      <c r="A440" s="4"/>
      <c r="B440" s="4"/>
      <c r="C440" s="4"/>
      <c r="F440" s="4"/>
      <c r="G440" s="4"/>
      <c r="H440" s="4"/>
    </row>
    <row r="441" spans="1:8">
      <c r="A441" s="4"/>
      <c r="B441" s="4"/>
      <c r="C441" s="4"/>
      <c r="F441" s="4"/>
      <c r="G441" s="4"/>
      <c r="H441" s="4"/>
    </row>
    <row r="442" spans="1:8">
      <c r="A442" s="4"/>
      <c r="B442" s="4"/>
      <c r="C442" s="4"/>
      <c r="F442" s="4"/>
      <c r="G442" s="4"/>
      <c r="H442" s="4"/>
    </row>
    <row r="443" spans="1:8">
      <c r="A443" s="4"/>
      <c r="B443" s="4"/>
      <c r="C443" s="4"/>
      <c r="F443" s="4"/>
      <c r="G443" s="4"/>
      <c r="H443" s="4"/>
    </row>
    <row r="444" spans="1:8">
      <c r="A444" s="4"/>
      <c r="B444" s="4"/>
      <c r="C444" s="4"/>
      <c r="F444" s="4"/>
      <c r="G444" s="4"/>
      <c r="H444" s="4"/>
    </row>
    <row r="445" spans="1:8">
      <c r="A445" s="4"/>
      <c r="B445" s="4"/>
      <c r="C445" s="4"/>
      <c r="F445" s="4"/>
      <c r="G445" s="4"/>
      <c r="H445" s="4"/>
    </row>
    <row r="446" spans="1:8">
      <c r="A446" s="4"/>
      <c r="B446" s="4"/>
      <c r="C446" s="4"/>
      <c r="F446" s="4"/>
      <c r="G446" s="4"/>
      <c r="H446" s="4"/>
    </row>
    <row r="447" spans="1:8">
      <c r="A447" s="4"/>
      <c r="B447" s="4"/>
      <c r="C447" s="4"/>
      <c r="F447" s="4"/>
      <c r="G447" s="4"/>
      <c r="H447" s="4"/>
    </row>
    <row r="448" spans="1:8">
      <c r="A448" s="4"/>
      <c r="B448" s="4"/>
      <c r="C448" s="4"/>
      <c r="F448" s="4"/>
      <c r="G448" s="4"/>
      <c r="H448" s="4"/>
    </row>
    <row r="449" spans="1:8">
      <c r="A449" s="4"/>
      <c r="B449" s="4"/>
      <c r="C449" s="4"/>
      <c r="F449" s="4"/>
      <c r="G449" s="4"/>
      <c r="H449" s="4"/>
    </row>
    <row r="450" spans="1:8">
      <c r="A450" s="4"/>
      <c r="B450" s="4"/>
      <c r="C450" s="4"/>
      <c r="F450" s="4"/>
      <c r="G450" s="4"/>
      <c r="H450" s="4"/>
    </row>
    <row r="451" spans="1:8">
      <c r="A451" s="4"/>
      <c r="B451" s="4"/>
      <c r="C451" s="4"/>
      <c r="F451" s="4"/>
      <c r="G451" s="4"/>
      <c r="H451" s="4"/>
    </row>
    <row r="452" spans="1:8">
      <c r="A452" s="4"/>
      <c r="B452" s="4"/>
      <c r="C452" s="4"/>
      <c r="F452" s="4"/>
      <c r="G452" s="4"/>
      <c r="H452" s="4"/>
    </row>
    <row r="453" spans="1:8">
      <c r="A453" s="4"/>
      <c r="B453" s="4"/>
      <c r="C453" s="4"/>
      <c r="F453" s="4"/>
      <c r="G453" s="4"/>
      <c r="H453" s="4"/>
    </row>
    <row r="454" spans="1:8">
      <c r="A454" s="4"/>
      <c r="B454" s="4"/>
      <c r="C454" s="4"/>
      <c r="F454" s="4"/>
      <c r="G454" s="4"/>
      <c r="H454" s="4"/>
    </row>
    <row r="455" spans="1:8">
      <c r="A455" s="4"/>
      <c r="B455" s="4"/>
      <c r="C455" s="4"/>
      <c r="F455" s="4"/>
      <c r="G455" s="4"/>
      <c r="H455" s="4"/>
    </row>
    <row r="456" spans="1:8">
      <c r="A456" s="4"/>
      <c r="B456" s="4"/>
      <c r="C456" s="4"/>
      <c r="F456" s="4"/>
      <c r="G456" s="4"/>
      <c r="H456" s="4"/>
    </row>
    <row r="457" spans="1:8">
      <c r="A457" s="4"/>
      <c r="B457" s="4"/>
      <c r="C457" s="4"/>
      <c r="F457" s="4"/>
      <c r="G457" s="4"/>
      <c r="H457" s="4"/>
    </row>
    <row r="458" spans="1:8">
      <c r="A458" s="4"/>
      <c r="B458" s="4"/>
      <c r="C458" s="4"/>
      <c r="F458" s="4"/>
      <c r="G458" s="4"/>
      <c r="H458" s="4"/>
    </row>
    <row r="459" spans="1:8">
      <c r="A459" s="4"/>
      <c r="B459" s="4"/>
      <c r="C459" s="4"/>
      <c r="F459" s="4"/>
      <c r="G459" s="4"/>
      <c r="H459" s="4"/>
    </row>
    <row r="460" spans="1:8">
      <c r="A460" s="4"/>
      <c r="B460" s="4"/>
      <c r="C460" s="4"/>
      <c r="F460" s="4"/>
      <c r="G460" s="4"/>
      <c r="H460" s="4"/>
    </row>
    <row r="461" spans="1:8">
      <c r="A461" s="4"/>
      <c r="B461" s="4"/>
      <c r="C461" s="4"/>
      <c r="F461" s="4"/>
      <c r="G461" s="4"/>
      <c r="H461" s="4"/>
    </row>
    <row r="462" spans="1:8">
      <c r="A462" s="4"/>
      <c r="B462" s="4"/>
      <c r="C462" s="4"/>
      <c r="F462" s="4"/>
      <c r="G462" s="4"/>
      <c r="H462" s="4"/>
    </row>
    <row r="463" spans="1:8">
      <c r="A463" s="4"/>
      <c r="B463" s="4"/>
      <c r="C463" s="4"/>
      <c r="F463" s="4"/>
      <c r="G463" s="4"/>
      <c r="H463" s="4"/>
    </row>
    <row r="464" spans="1:8">
      <c r="A464" s="4"/>
      <c r="B464" s="4"/>
      <c r="C464" s="4"/>
      <c r="F464" s="4"/>
      <c r="G464" s="4"/>
      <c r="H464" s="4"/>
    </row>
    <row r="465" spans="1:8">
      <c r="A465" s="4"/>
      <c r="B465" s="4"/>
      <c r="C465" s="4"/>
      <c r="F465" s="4"/>
      <c r="G465" s="4"/>
      <c r="H465" s="4"/>
    </row>
    <row r="466" spans="1:8">
      <c r="A466" s="4"/>
      <c r="B466" s="4"/>
      <c r="C466" s="4"/>
      <c r="F466" s="4"/>
      <c r="G466" s="4"/>
      <c r="H466" s="4"/>
    </row>
    <row r="467" spans="1:8">
      <c r="A467" s="4"/>
      <c r="B467" s="4"/>
      <c r="C467" s="4"/>
      <c r="F467" s="4"/>
      <c r="G467" s="4"/>
      <c r="H467" s="4"/>
    </row>
    <row r="468" spans="1:8">
      <c r="A468" s="4"/>
      <c r="B468" s="4"/>
      <c r="C468" s="4"/>
      <c r="F468" s="4"/>
      <c r="G468" s="4"/>
      <c r="H468" s="4"/>
    </row>
    <row r="469" spans="1:8">
      <c r="A469" s="4"/>
      <c r="B469" s="4"/>
      <c r="C469" s="4"/>
      <c r="F469" s="4"/>
      <c r="G469" s="4"/>
      <c r="H469" s="4"/>
    </row>
    <row r="470" spans="1:8">
      <c r="A470" s="4"/>
      <c r="B470" s="4"/>
      <c r="C470" s="4"/>
      <c r="F470" s="4"/>
      <c r="G470" s="4"/>
      <c r="H470" s="4"/>
    </row>
    <row r="471" spans="1:8">
      <c r="A471" s="4"/>
      <c r="B471" s="4"/>
      <c r="C471" s="4"/>
      <c r="F471" s="4"/>
      <c r="G471" s="4"/>
      <c r="H471" s="4"/>
    </row>
    <row r="472" spans="1:8">
      <c r="A472" s="4"/>
      <c r="B472" s="4"/>
      <c r="C472" s="4"/>
      <c r="F472" s="4"/>
      <c r="G472" s="4"/>
      <c r="H472" s="4"/>
    </row>
    <row r="473" spans="1:8">
      <c r="A473" s="4"/>
      <c r="B473" s="4"/>
      <c r="C473" s="4"/>
      <c r="F473" s="4"/>
      <c r="G473" s="4"/>
      <c r="H473" s="4"/>
    </row>
    <row r="474" spans="1:8">
      <c r="A474" s="4"/>
      <c r="B474" s="4"/>
      <c r="C474" s="4"/>
      <c r="F474" s="4"/>
      <c r="G474" s="4"/>
      <c r="H474" s="4"/>
    </row>
    <row r="475" spans="1:8">
      <c r="A475" s="4"/>
      <c r="B475" s="4"/>
      <c r="C475" s="4"/>
      <c r="F475" s="4"/>
      <c r="G475" s="4"/>
      <c r="H475" s="4"/>
    </row>
    <row r="476" spans="1:8">
      <c r="A476" s="4"/>
      <c r="B476" s="4"/>
      <c r="C476" s="4"/>
      <c r="F476" s="4"/>
      <c r="G476" s="4"/>
      <c r="H476" s="4"/>
    </row>
    <row r="477" spans="1:8">
      <c r="A477" s="4"/>
      <c r="B477" s="4"/>
      <c r="C477" s="4"/>
      <c r="F477" s="4"/>
      <c r="G477" s="4"/>
      <c r="H477" s="4"/>
    </row>
    <row r="478" spans="1:8">
      <c r="A478" s="4"/>
      <c r="B478" s="4"/>
      <c r="C478" s="4"/>
      <c r="F478" s="4"/>
      <c r="G478" s="4"/>
      <c r="H478" s="4"/>
    </row>
    <row r="479" spans="1:8">
      <c r="A479" s="4"/>
      <c r="B479" s="4"/>
      <c r="C479" s="4"/>
      <c r="F479" s="4"/>
      <c r="G479" s="4"/>
      <c r="H479" s="4"/>
    </row>
    <row r="480" spans="1:8">
      <c r="A480" s="4"/>
      <c r="B480" s="4"/>
      <c r="C480" s="4"/>
      <c r="F480" s="4"/>
      <c r="G480" s="4"/>
      <c r="H480" s="4"/>
    </row>
    <row r="481" spans="1:8">
      <c r="A481" s="4"/>
      <c r="B481" s="4"/>
      <c r="C481" s="4"/>
      <c r="F481" s="4"/>
      <c r="G481" s="4"/>
      <c r="H481" s="4"/>
    </row>
    <row r="482" spans="1:8">
      <c r="A482" s="4"/>
      <c r="B482" s="4"/>
      <c r="C482" s="4"/>
      <c r="F482" s="4"/>
      <c r="G482" s="4"/>
      <c r="H482" s="4"/>
    </row>
    <row r="483" spans="1:8">
      <c r="A483" s="4"/>
      <c r="B483" s="4"/>
      <c r="C483" s="4"/>
      <c r="F483" s="4"/>
      <c r="G483" s="4"/>
      <c r="H483" s="4"/>
    </row>
    <row r="484" spans="1:8">
      <c r="A484" s="4"/>
      <c r="B484" s="4"/>
      <c r="C484" s="4"/>
      <c r="F484" s="4"/>
      <c r="G484" s="4"/>
      <c r="H484" s="4"/>
    </row>
    <row r="485" spans="1:8">
      <c r="A485" s="4"/>
      <c r="B485" s="4"/>
      <c r="C485" s="4"/>
      <c r="F485" s="4"/>
      <c r="G485" s="4"/>
      <c r="H485" s="4"/>
    </row>
    <row r="486" spans="1:8">
      <c r="A486" s="4"/>
      <c r="B486" s="4"/>
      <c r="C486" s="4"/>
      <c r="F486" s="4"/>
      <c r="G486" s="4"/>
      <c r="H486" s="4"/>
    </row>
    <row r="487" spans="1:8">
      <c r="A487" s="4"/>
      <c r="B487" s="4"/>
      <c r="C487" s="4"/>
      <c r="F487" s="4"/>
      <c r="G487" s="4"/>
      <c r="H487" s="4"/>
    </row>
    <row r="488" spans="1:8">
      <c r="A488" s="4"/>
      <c r="B488" s="4"/>
      <c r="C488" s="4"/>
      <c r="F488" s="4"/>
      <c r="G488" s="4"/>
      <c r="H488" s="4"/>
    </row>
    <row r="489" spans="1:8">
      <c r="A489" s="4"/>
      <c r="B489" s="4"/>
      <c r="C489" s="4"/>
      <c r="F489" s="4"/>
      <c r="G489" s="4"/>
      <c r="H489" s="4"/>
    </row>
    <row r="490" spans="1:8">
      <c r="A490" s="4"/>
      <c r="B490" s="4"/>
      <c r="C490" s="4"/>
      <c r="F490" s="4"/>
      <c r="G490" s="4"/>
      <c r="H490" s="4"/>
    </row>
    <row r="491" spans="1:8">
      <c r="A491" s="4"/>
      <c r="B491" s="4"/>
      <c r="C491" s="4"/>
      <c r="F491" s="4"/>
      <c r="G491" s="4"/>
      <c r="H491" s="4"/>
    </row>
    <row r="492" spans="1:8">
      <c r="A492" s="4"/>
      <c r="B492" s="4"/>
      <c r="C492" s="4"/>
      <c r="F492" s="4"/>
      <c r="G492" s="4"/>
      <c r="H492" s="4"/>
    </row>
    <row r="493" spans="1:8">
      <c r="A493" s="4"/>
      <c r="B493" s="4"/>
      <c r="C493" s="4"/>
      <c r="F493" s="4"/>
      <c r="G493" s="4"/>
      <c r="H493" s="4"/>
    </row>
    <row r="494" spans="1:8">
      <c r="A494" s="4"/>
      <c r="B494" s="4"/>
      <c r="C494" s="4"/>
      <c r="F494" s="4"/>
      <c r="G494" s="4"/>
      <c r="H494" s="4"/>
    </row>
    <row r="495" spans="1:8">
      <c r="A495" s="4"/>
      <c r="B495" s="4"/>
      <c r="C495" s="4"/>
      <c r="F495" s="4"/>
      <c r="G495" s="4"/>
      <c r="H495" s="4"/>
    </row>
    <row r="496" spans="1:8">
      <c r="A496" s="4"/>
      <c r="B496" s="4"/>
      <c r="C496" s="4"/>
      <c r="F496" s="4"/>
      <c r="G496" s="4"/>
      <c r="H496" s="4"/>
    </row>
    <row r="497" spans="1:8">
      <c r="A497" s="4"/>
      <c r="B497" s="4"/>
      <c r="C497" s="4"/>
      <c r="F497" s="4"/>
      <c r="G497" s="4"/>
      <c r="H497" s="4"/>
    </row>
    <row r="498" spans="1:8">
      <c r="A498" s="4"/>
      <c r="B498" s="4"/>
      <c r="C498" s="4"/>
      <c r="F498" s="4"/>
      <c r="G498" s="4"/>
      <c r="H498" s="4"/>
    </row>
    <row r="499" spans="1:8">
      <c r="A499" s="4"/>
      <c r="B499" s="4"/>
      <c r="C499" s="4"/>
      <c r="F499" s="4"/>
      <c r="G499" s="4"/>
      <c r="H499" s="4"/>
    </row>
    <row r="500" spans="1:8">
      <c r="A500" s="4"/>
      <c r="B500" s="4"/>
      <c r="C500" s="4"/>
      <c r="F500" s="4"/>
      <c r="G500" s="4"/>
      <c r="H500" s="4"/>
    </row>
    <row r="501" spans="1:8">
      <c r="A501" s="4"/>
      <c r="B501" s="4"/>
      <c r="C501" s="4"/>
      <c r="F501" s="4"/>
      <c r="G501" s="4"/>
      <c r="H501" s="4"/>
    </row>
    <row r="502" spans="1:8">
      <c r="A502" s="4"/>
      <c r="B502" s="4"/>
      <c r="C502" s="4"/>
      <c r="F502" s="4"/>
      <c r="G502" s="4"/>
      <c r="H502" s="4"/>
    </row>
    <row r="503" spans="1:8">
      <c r="A503" s="4"/>
      <c r="B503" s="4"/>
      <c r="C503" s="4"/>
      <c r="F503" s="4"/>
      <c r="G503" s="4"/>
      <c r="H503" s="4"/>
    </row>
    <row r="504" spans="1:8">
      <c r="A504" s="4"/>
      <c r="B504" s="4"/>
      <c r="C504" s="4"/>
      <c r="F504" s="4"/>
      <c r="G504" s="4"/>
      <c r="H504" s="4"/>
    </row>
    <row r="505" spans="1:8">
      <c r="A505" s="4"/>
      <c r="B505" s="4"/>
      <c r="C505" s="4"/>
      <c r="F505" s="4"/>
      <c r="G505" s="4"/>
      <c r="H505" s="4"/>
    </row>
    <row r="506" spans="1:8">
      <c r="A506" s="4"/>
      <c r="B506" s="4"/>
      <c r="C506" s="4"/>
      <c r="F506" s="4"/>
      <c r="G506" s="4"/>
      <c r="H506" s="4"/>
    </row>
    <row r="507" spans="1:8">
      <c r="A507" s="4"/>
      <c r="B507" s="4"/>
      <c r="C507" s="4"/>
      <c r="F507" s="4"/>
      <c r="G507" s="4"/>
      <c r="H507" s="4"/>
    </row>
    <row r="508" spans="1:8">
      <c r="A508" s="4"/>
      <c r="B508" s="4"/>
      <c r="C508" s="4"/>
      <c r="F508" s="4"/>
      <c r="G508" s="4"/>
      <c r="H508" s="4"/>
    </row>
    <row r="509" spans="1:8">
      <c r="A509" s="4"/>
      <c r="B509" s="4"/>
      <c r="C509" s="4"/>
      <c r="F509" s="4"/>
      <c r="G509" s="4"/>
      <c r="H509" s="4"/>
    </row>
    <row r="510" spans="1:8">
      <c r="A510" s="4"/>
      <c r="B510" s="4"/>
      <c r="C510" s="4"/>
      <c r="F510" s="4"/>
      <c r="G510" s="4"/>
      <c r="H510" s="4"/>
    </row>
    <row r="511" spans="1:8">
      <c r="A511" s="4"/>
      <c r="B511" s="4"/>
      <c r="C511" s="4"/>
      <c r="F511" s="4"/>
      <c r="G511" s="4"/>
      <c r="H511" s="4"/>
    </row>
    <row r="512" spans="1:8">
      <c r="A512" s="4"/>
      <c r="B512" s="4"/>
      <c r="C512" s="4"/>
      <c r="F512" s="4"/>
      <c r="G512" s="4"/>
      <c r="H512" s="4"/>
    </row>
    <row r="513" spans="1:8">
      <c r="A513" s="4"/>
      <c r="B513" s="4"/>
      <c r="C513" s="4"/>
      <c r="F513" s="4"/>
      <c r="G513" s="4"/>
      <c r="H513" s="4"/>
    </row>
    <row r="514" spans="1:8">
      <c r="A514" s="4"/>
      <c r="B514" s="4"/>
      <c r="C514" s="4"/>
      <c r="F514" s="4"/>
      <c r="G514" s="4"/>
      <c r="H514" s="4"/>
    </row>
    <row r="515" spans="1:8">
      <c r="A515" s="4"/>
      <c r="B515" s="4"/>
      <c r="C515" s="4"/>
      <c r="F515" s="4"/>
      <c r="G515" s="4"/>
      <c r="H515" s="4"/>
    </row>
    <row r="516" spans="1:8">
      <c r="A516" s="4"/>
      <c r="B516" s="4"/>
      <c r="C516" s="4"/>
      <c r="F516" s="4"/>
      <c r="G516" s="4"/>
      <c r="H516" s="4"/>
    </row>
    <row r="517" spans="1:8">
      <c r="A517" s="4"/>
      <c r="B517" s="4"/>
      <c r="C517" s="4"/>
      <c r="F517" s="4"/>
      <c r="G517" s="4"/>
      <c r="H517" s="4"/>
    </row>
    <row r="518" spans="1:8">
      <c r="A518" s="4"/>
      <c r="B518" s="4"/>
      <c r="C518" s="4"/>
      <c r="F518" s="4"/>
      <c r="G518" s="4"/>
      <c r="H518" s="4"/>
    </row>
    <row r="519" spans="1:8">
      <c r="A519" s="4"/>
      <c r="B519" s="4"/>
      <c r="C519" s="4"/>
      <c r="F519" s="4"/>
      <c r="G519" s="4"/>
      <c r="H519" s="4"/>
    </row>
    <row r="520" spans="1:8">
      <c r="A520" s="4"/>
      <c r="B520" s="4"/>
      <c r="C520" s="4"/>
      <c r="F520" s="4"/>
      <c r="G520" s="4"/>
      <c r="H520" s="4"/>
    </row>
    <row r="521" spans="1:8">
      <c r="A521" s="4"/>
      <c r="B521" s="4"/>
      <c r="C521" s="4"/>
      <c r="F521" s="4"/>
      <c r="G521" s="4"/>
      <c r="H521" s="4"/>
    </row>
    <row r="522" spans="1:8">
      <c r="A522" s="4"/>
      <c r="B522" s="4"/>
      <c r="C522" s="4"/>
      <c r="F522" s="4"/>
      <c r="G522" s="4"/>
      <c r="H522" s="4"/>
    </row>
    <row r="523" spans="1:8">
      <c r="A523" s="4"/>
      <c r="B523" s="4"/>
      <c r="C523" s="4"/>
      <c r="F523" s="4"/>
      <c r="G523" s="4"/>
      <c r="H523" s="4"/>
    </row>
    <row r="524" spans="1:8">
      <c r="A524" s="4"/>
      <c r="B524" s="4"/>
      <c r="C524" s="4"/>
      <c r="F524" s="4"/>
      <c r="G524" s="4"/>
      <c r="H524" s="4"/>
    </row>
    <row r="525" spans="1:8">
      <c r="A525" s="4"/>
      <c r="B525" s="4"/>
      <c r="C525" s="4"/>
      <c r="F525" s="4"/>
      <c r="G525" s="4"/>
      <c r="H525" s="4"/>
    </row>
    <row r="526" spans="1:8">
      <c r="A526" s="4"/>
      <c r="B526" s="4"/>
      <c r="C526" s="4"/>
      <c r="F526" s="4"/>
      <c r="G526" s="4"/>
      <c r="H526" s="4"/>
    </row>
    <row r="527" spans="1:8">
      <c r="A527" s="4"/>
      <c r="B527" s="4"/>
      <c r="C527" s="4"/>
      <c r="F527" s="4"/>
      <c r="G527" s="4"/>
      <c r="H527" s="4"/>
    </row>
    <row r="528" spans="1:8">
      <c r="A528" s="4"/>
      <c r="B528" s="4"/>
      <c r="C528" s="4"/>
      <c r="F528" s="4"/>
      <c r="G528" s="4"/>
      <c r="H528" s="4"/>
    </row>
    <row r="529" spans="1:8">
      <c r="A529" s="4"/>
      <c r="B529" s="4"/>
      <c r="C529" s="4"/>
      <c r="F529" s="4"/>
      <c r="G529" s="4"/>
      <c r="H529" s="4"/>
    </row>
    <row r="530" spans="1:8">
      <c r="A530" s="4"/>
      <c r="B530" s="4"/>
      <c r="C530" s="4"/>
      <c r="F530" s="4"/>
      <c r="G530" s="4"/>
      <c r="H530" s="4"/>
    </row>
    <row r="531" spans="1:8">
      <c r="A531" s="4"/>
      <c r="B531" s="4"/>
      <c r="C531" s="4"/>
      <c r="F531" s="4"/>
      <c r="G531" s="4"/>
      <c r="H531" s="4"/>
    </row>
    <row r="532" spans="1:8">
      <c r="A532" s="4"/>
      <c r="B532" s="4"/>
      <c r="C532" s="4"/>
      <c r="F532" s="4"/>
      <c r="G532" s="4"/>
      <c r="H532" s="4"/>
    </row>
    <row r="533" spans="1:8">
      <c r="A533" s="4"/>
      <c r="B533" s="4"/>
      <c r="C533" s="4"/>
      <c r="F533" s="4"/>
      <c r="G533" s="4"/>
      <c r="H533" s="4"/>
    </row>
    <row r="534" spans="1:8">
      <c r="A534" s="4"/>
      <c r="B534" s="4"/>
      <c r="C534" s="4"/>
      <c r="F534" s="4"/>
      <c r="G534" s="4"/>
      <c r="H534" s="4"/>
    </row>
    <row r="535" spans="1:8">
      <c r="A535" s="4"/>
      <c r="B535" s="4"/>
      <c r="C535" s="4"/>
      <c r="F535" s="4"/>
      <c r="G535" s="4"/>
      <c r="H535" s="4"/>
    </row>
    <row r="536" spans="1:8">
      <c r="A536" s="4"/>
      <c r="B536" s="4"/>
      <c r="C536" s="4"/>
      <c r="F536" s="4"/>
      <c r="G536" s="4"/>
      <c r="H536" s="4"/>
    </row>
    <row r="537" spans="1:8">
      <c r="A537" s="4"/>
      <c r="B537" s="4"/>
      <c r="C537" s="4"/>
      <c r="F537" s="4"/>
      <c r="G537" s="4"/>
      <c r="H537" s="4"/>
    </row>
    <row r="538" spans="1:8">
      <c r="A538" s="4"/>
      <c r="B538" s="4"/>
      <c r="C538" s="4"/>
      <c r="F538" s="4"/>
      <c r="G538" s="4"/>
      <c r="H538" s="4"/>
    </row>
    <row r="539" spans="1:8">
      <c r="A539" s="4"/>
      <c r="B539" s="4"/>
      <c r="C539" s="4"/>
      <c r="F539" s="4"/>
      <c r="G539" s="4"/>
      <c r="H539" s="4"/>
    </row>
    <row r="540" spans="1:8">
      <c r="A540" s="4"/>
      <c r="B540" s="4"/>
      <c r="C540" s="4"/>
      <c r="F540" s="4"/>
      <c r="G540" s="4"/>
      <c r="H540" s="4"/>
    </row>
    <row r="541" spans="1:8">
      <c r="A541" s="4"/>
      <c r="B541" s="4"/>
      <c r="C541" s="4"/>
      <c r="F541" s="4"/>
      <c r="G541" s="4"/>
      <c r="H541" s="4"/>
    </row>
    <row r="542" spans="1:8">
      <c r="A542" s="4"/>
      <c r="B542" s="4"/>
      <c r="C542" s="4"/>
      <c r="F542" s="4"/>
      <c r="G542" s="4"/>
      <c r="H542" s="4"/>
    </row>
    <row r="543" spans="1:8">
      <c r="A543" s="4"/>
      <c r="B543" s="4"/>
      <c r="C543" s="4"/>
      <c r="F543" s="4"/>
      <c r="G543" s="4"/>
      <c r="H543" s="4"/>
    </row>
    <row r="544" spans="1:8">
      <c r="A544" s="4"/>
      <c r="B544" s="4"/>
      <c r="C544" s="4"/>
      <c r="F544" s="4"/>
      <c r="G544" s="4"/>
      <c r="H544" s="4"/>
    </row>
    <row r="545" spans="1:8">
      <c r="A545" s="4"/>
      <c r="B545" s="4"/>
      <c r="C545" s="4"/>
      <c r="F545" s="4"/>
      <c r="G545" s="4"/>
      <c r="H545" s="4"/>
    </row>
    <row r="546" spans="1:8">
      <c r="A546" s="4"/>
      <c r="B546" s="4"/>
      <c r="C546" s="4"/>
      <c r="F546" s="4"/>
      <c r="G546" s="4"/>
      <c r="H546" s="4"/>
    </row>
    <row r="547" spans="1:8">
      <c r="A547" s="4"/>
      <c r="B547" s="4"/>
      <c r="C547" s="4"/>
      <c r="F547" s="4"/>
      <c r="G547" s="4"/>
      <c r="H547" s="4"/>
    </row>
    <row r="548" spans="1:8">
      <c r="A548" s="4"/>
      <c r="B548" s="4"/>
      <c r="C548" s="4"/>
      <c r="F548" s="4"/>
      <c r="G548" s="4"/>
      <c r="H548" s="4"/>
    </row>
    <row r="549" spans="1:8">
      <c r="A549" s="4"/>
      <c r="B549" s="4"/>
      <c r="C549" s="4"/>
      <c r="F549" s="4"/>
      <c r="G549" s="4"/>
      <c r="H549" s="4"/>
    </row>
    <row r="550" spans="1:8">
      <c r="A550" s="4"/>
      <c r="B550" s="4"/>
      <c r="C550" s="4"/>
      <c r="F550" s="4"/>
      <c r="G550" s="4"/>
      <c r="H550" s="4"/>
    </row>
    <row r="551" spans="1:8">
      <c r="A551" s="4"/>
      <c r="B551" s="4"/>
      <c r="C551" s="4"/>
      <c r="F551" s="4"/>
      <c r="G551" s="4"/>
      <c r="H551" s="4"/>
    </row>
    <row r="552" spans="1:8">
      <c r="A552" s="4"/>
      <c r="B552" s="4"/>
      <c r="C552" s="4"/>
      <c r="F552" s="4"/>
      <c r="G552" s="4"/>
      <c r="H552" s="4"/>
    </row>
    <row r="553" spans="1:8">
      <c r="A553" s="4"/>
      <c r="B553" s="4"/>
      <c r="C553" s="4"/>
      <c r="F553" s="4"/>
      <c r="G553" s="4"/>
      <c r="H553" s="4"/>
    </row>
    <row r="554" spans="1:8">
      <c r="A554" s="4"/>
      <c r="B554" s="4"/>
      <c r="C554" s="4"/>
      <c r="F554" s="4"/>
      <c r="G554" s="4"/>
      <c r="H554" s="4"/>
    </row>
    <row r="555" spans="1:8">
      <c r="A555" s="4"/>
      <c r="B555" s="4"/>
      <c r="C555" s="4"/>
      <c r="F555" s="4"/>
      <c r="G555" s="4"/>
      <c r="H555" s="4"/>
    </row>
    <row r="556" spans="1:8">
      <c r="A556" s="4"/>
      <c r="B556" s="4"/>
      <c r="C556" s="4"/>
      <c r="F556" s="4"/>
      <c r="G556" s="4"/>
      <c r="H556" s="4"/>
    </row>
    <row r="557" spans="1:8">
      <c r="A557" s="4"/>
      <c r="B557" s="4"/>
      <c r="C557" s="4"/>
      <c r="F557" s="4"/>
      <c r="G557" s="4"/>
      <c r="H557" s="4"/>
    </row>
    <row r="558" spans="1:8">
      <c r="A558" s="4"/>
      <c r="B558" s="4"/>
      <c r="C558" s="4"/>
      <c r="F558" s="4"/>
      <c r="G558" s="4"/>
      <c r="H558" s="4"/>
    </row>
    <row r="559" spans="1:8">
      <c r="A559" s="4"/>
      <c r="B559" s="4"/>
      <c r="C559" s="4"/>
      <c r="F559" s="4"/>
      <c r="G559" s="4"/>
      <c r="H559" s="4"/>
    </row>
    <row r="560" spans="1:8">
      <c r="A560" s="4"/>
      <c r="B560" s="4"/>
      <c r="C560" s="4"/>
      <c r="F560" s="4"/>
      <c r="G560" s="4"/>
      <c r="H560" s="4"/>
    </row>
    <row r="561" spans="1:8">
      <c r="A561" s="4"/>
      <c r="B561" s="4"/>
      <c r="C561" s="4"/>
      <c r="F561" s="4"/>
      <c r="G561" s="4"/>
      <c r="H561" s="4"/>
    </row>
    <row r="562" spans="1:8">
      <c r="A562" s="4"/>
      <c r="B562" s="4"/>
      <c r="C562" s="4"/>
      <c r="F562" s="4"/>
      <c r="G562" s="4"/>
      <c r="H562" s="4"/>
    </row>
    <row r="563" spans="1:8">
      <c r="A563" s="4"/>
      <c r="B563" s="4"/>
      <c r="C563" s="4"/>
      <c r="F563" s="4"/>
      <c r="G563" s="4"/>
      <c r="H563" s="4"/>
    </row>
    <row r="564" spans="1:8">
      <c r="A564" s="4"/>
      <c r="B564" s="4"/>
      <c r="C564" s="4"/>
      <c r="F564" s="4"/>
      <c r="G564" s="4"/>
      <c r="H564" s="4"/>
    </row>
    <row r="565" spans="1:8">
      <c r="A565" s="4"/>
      <c r="B565" s="4"/>
      <c r="C565" s="4"/>
      <c r="F565" s="4"/>
      <c r="G565" s="4"/>
      <c r="H565" s="4"/>
    </row>
    <row r="566" spans="1:8">
      <c r="A566" s="4"/>
      <c r="B566" s="4"/>
      <c r="C566" s="4"/>
      <c r="F566" s="4"/>
      <c r="G566" s="4"/>
      <c r="H566" s="4"/>
    </row>
    <row r="567" spans="1:8">
      <c r="A567" s="4"/>
      <c r="B567" s="4"/>
      <c r="C567" s="4"/>
      <c r="F567" s="4"/>
      <c r="G567" s="4"/>
      <c r="H567" s="4"/>
    </row>
    <row r="568" spans="1:8">
      <c r="A568" s="4"/>
      <c r="B568" s="4"/>
      <c r="C568" s="4"/>
      <c r="F568" s="4"/>
      <c r="G568" s="4"/>
      <c r="H568" s="4"/>
    </row>
    <row r="569" spans="1:8">
      <c r="A569" s="4"/>
      <c r="B569" s="4"/>
      <c r="C569" s="4"/>
      <c r="F569" s="4"/>
      <c r="G569" s="4"/>
      <c r="H569" s="4"/>
    </row>
    <row r="570" spans="1:8">
      <c r="A570" s="4"/>
      <c r="B570" s="4"/>
      <c r="C570" s="4"/>
      <c r="F570" s="4"/>
      <c r="G570" s="4"/>
      <c r="H570" s="4"/>
    </row>
    <row r="571" spans="1:8">
      <c r="A571" s="4"/>
      <c r="B571" s="4"/>
      <c r="C571" s="4"/>
      <c r="F571" s="4"/>
      <c r="G571" s="4"/>
      <c r="H571" s="4"/>
    </row>
    <row r="572" spans="1:8">
      <c r="A572" s="4"/>
      <c r="B572" s="4"/>
      <c r="C572" s="4"/>
      <c r="F572" s="4"/>
      <c r="G572" s="4"/>
      <c r="H572" s="4"/>
    </row>
    <row r="573" spans="1:8">
      <c r="A573" s="4"/>
      <c r="B573" s="4"/>
      <c r="C573" s="4"/>
      <c r="F573" s="4"/>
      <c r="G573" s="4"/>
      <c r="H573" s="4"/>
    </row>
    <row r="574" spans="1:8">
      <c r="A574" s="4"/>
      <c r="B574" s="4"/>
      <c r="C574" s="4"/>
      <c r="F574" s="4"/>
      <c r="G574" s="4"/>
      <c r="H574" s="4"/>
    </row>
    <row r="575" spans="1:8">
      <c r="A575" s="4"/>
      <c r="B575" s="4"/>
      <c r="C575" s="4"/>
      <c r="F575" s="4"/>
      <c r="G575" s="4"/>
      <c r="H575" s="4"/>
    </row>
    <row r="576" spans="1:8">
      <c r="A576" s="4"/>
      <c r="B576" s="4"/>
      <c r="C576" s="4"/>
      <c r="F576" s="4"/>
      <c r="G576" s="4"/>
      <c r="H576" s="4"/>
    </row>
    <row r="577" spans="1:8">
      <c r="A577" s="4"/>
      <c r="B577" s="4"/>
      <c r="C577" s="4"/>
      <c r="F577" s="4"/>
      <c r="G577" s="4"/>
      <c r="H577" s="4"/>
    </row>
    <row r="578" spans="1:8">
      <c r="A578" s="4"/>
      <c r="B578" s="4"/>
      <c r="C578" s="4"/>
      <c r="F578" s="4"/>
      <c r="G578" s="4"/>
      <c r="H578" s="4"/>
    </row>
    <row r="579" spans="1:8">
      <c r="A579" s="4"/>
      <c r="B579" s="4"/>
      <c r="C579" s="4"/>
      <c r="F579" s="4"/>
      <c r="G579" s="4"/>
      <c r="H579" s="4"/>
    </row>
    <row r="580" spans="1:8">
      <c r="A580" s="4"/>
      <c r="B580" s="4"/>
      <c r="C580" s="4"/>
      <c r="F580" s="4"/>
      <c r="G580" s="4"/>
      <c r="H580" s="4"/>
    </row>
    <row r="581" spans="1:8">
      <c r="A581" s="4"/>
      <c r="B581" s="4"/>
      <c r="C581" s="4"/>
      <c r="F581" s="4"/>
      <c r="G581" s="4"/>
      <c r="H581" s="4"/>
    </row>
    <row r="582" spans="1:8">
      <c r="A582" s="4"/>
      <c r="B582" s="4"/>
      <c r="C582" s="4"/>
      <c r="F582" s="4"/>
      <c r="G582" s="4"/>
      <c r="H582" s="4"/>
    </row>
    <row r="583" spans="1:8">
      <c r="A583" s="4"/>
      <c r="B583" s="4"/>
      <c r="C583" s="4"/>
      <c r="F583" s="4"/>
      <c r="G583" s="4"/>
      <c r="H583" s="4"/>
    </row>
    <row r="584" spans="1:8">
      <c r="A584" s="4"/>
      <c r="B584" s="4"/>
      <c r="C584" s="4"/>
      <c r="F584" s="4"/>
      <c r="G584" s="4"/>
      <c r="H584" s="4"/>
    </row>
    <row r="585" spans="1:8">
      <c r="A585" s="4"/>
      <c r="B585" s="4"/>
      <c r="C585" s="4"/>
      <c r="F585" s="4"/>
      <c r="G585" s="4"/>
      <c r="H585" s="4"/>
    </row>
    <row r="586" spans="1:8">
      <c r="A586" s="4"/>
      <c r="B586" s="4"/>
      <c r="C586" s="4"/>
      <c r="F586" s="4"/>
      <c r="G586" s="4"/>
      <c r="H586" s="4"/>
    </row>
    <row r="587" spans="1:8">
      <c r="A587" s="4"/>
      <c r="B587" s="4"/>
      <c r="C587" s="4"/>
      <c r="F587" s="4"/>
      <c r="G587" s="4"/>
      <c r="H587" s="4"/>
    </row>
    <row r="588" spans="1:8">
      <c r="A588" s="4"/>
      <c r="B588" s="4"/>
      <c r="C588" s="4"/>
      <c r="F588" s="4"/>
      <c r="G588" s="4"/>
      <c r="H588" s="4"/>
    </row>
    <row r="589" spans="1:8">
      <c r="A589" s="4"/>
      <c r="B589" s="4"/>
      <c r="C589" s="4"/>
      <c r="F589" s="4"/>
      <c r="G589" s="4"/>
      <c r="H589" s="4"/>
    </row>
    <row r="590" spans="1:8">
      <c r="A590" s="4"/>
      <c r="B590" s="4"/>
      <c r="C590" s="4"/>
      <c r="F590" s="4"/>
      <c r="G590" s="4"/>
      <c r="H590" s="4"/>
    </row>
    <row r="591" spans="1:8">
      <c r="A591" s="4"/>
      <c r="B591" s="4"/>
      <c r="C591" s="4"/>
      <c r="F591" s="4"/>
      <c r="G591" s="4"/>
      <c r="H591" s="4"/>
    </row>
    <row r="592" spans="1:8">
      <c r="A592" s="4"/>
      <c r="B592" s="4"/>
      <c r="C592" s="4"/>
      <c r="F592" s="4"/>
      <c r="G592" s="4"/>
      <c r="H592" s="4"/>
    </row>
    <row r="593" spans="1:8">
      <c r="A593" s="4"/>
      <c r="B593" s="4"/>
      <c r="C593" s="4"/>
      <c r="F593" s="4"/>
      <c r="G593" s="4"/>
      <c r="H593" s="4"/>
    </row>
    <row r="594" spans="1:8">
      <c r="A594" s="4"/>
      <c r="B594" s="4"/>
      <c r="C594" s="4"/>
      <c r="F594" s="4"/>
      <c r="G594" s="4"/>
      <c r="H594" s="4"/>
    </row>
    <row r="595" spans="1:8">
      <c r="A595" s="4"/>
      <c r="B595" s="4"/>
      <c r="C595" s="4"/>
      <c r="F595" s="4"/>
      <c r="G595" s="4"/>
      <c r="H595" s="4"/>
    </row>
    <row r="596" spans="1:8">
      <c r="A596" s="4"/>
      <c r="B596" s="4"/>
      <c r="C596" s="4"/>
      <c r="F596" s="4"/>
      <c r="G596" s="4"/>
      <c r="H596" s="4"/>
    </row>
    <row r="597" spans="1:8">
      <c r="A597" s="4"/>
      <c r="B597" s="4"/>
      <c r="C597" s="4"/>
      <c r="F597" s="4"/>
      <c r="G597" s="4"/>
      <c r="H597" s="4"/>
    </row>
    <row r="598" spans="1:8">
      <c r="A598" s="4"/>
      <c r="B598" s="4"/>
      <c r="C598" s="4"/>
      <c r="F598" s="4"/>
      <c r="G598" s="4"/>
      <c r="H598" s="4"/>
    </row>
    <row r="599" spans="1:8">
      <c r="A599" s="4"/>
      <c r="B599" s="4"/>
      <c r="C599" s="4"/>
      <c r="F599" s="4"/>
      <c r="G599" s="4"/>
      <c r="H599" s="4"/>
    </row>
    <row r="600" spans="1:8">
      <c r="A600" s="4"/>
      <c r="B600" s="4"/>
      <c r="C600" s="4"/>
      <c r="F600" s="4"/>
      <c r="G600" s="4"/>
      <c r="H600" s="4"/>
    </row>
    <row r="601" spans="1:8">
      <c r="A601" s="4"/>
      <c r="B601" s="4"/>
      <c r="C601" s="4"/>
      <c r="F601" s="4"/>
      <c r="G601" s="4"/>
      <c r="H601" s="4"/>
    </row>
    <row r="602" spans="1:8">
      <c r="A602" s="4"/>
      <c r="B602" s="4"/>
      <c r="C602" s="4"/>
      <c r="F602" s="4"/>
      <c r="G602" s="4"/>
      <c r="H602" s="4"/>
    </row>
    <row r="603" spans="1:8">
      <c r="A603" s="4"/>
      <c r="B603" s="4"/>
      <c r="C603" s="4"/>
      <c r="F603" s="4"/>
      <c r="G603" s="4"/>
      <c r="H603" s="4"/>
    </row>
    <row r="604" spans="1:8">
      <c r="A604" s="4"/>
      <c r="B604" s="4"/>
      <c r="C604" s="4"/>
      <c r="F604" s="4"/>
      <c r="G604" s="4"/>
      <c r="H604" s="4"/>
    </row>
    <row r="605" spans="1:8">
      <c r="A605" s="4"/>
      <c r="B605" s="4"/>
      <c r="C605" s="4"/>
      <c r="F605" s="4"/>
      <c r="G605" s="4"/>
      <c r="H605" s="4"/>
    </row>
    <row r="606" spans="1:8">
      <c r="A606" s="4"/>
      <c r="B606" s="4"/>
      <c r="C606" s="4"/>
      <c r="F606" s="4"/>
      <c r="G606" s="4"/>
      <c r="H606" s="4"/>
    </row>
    <row r="607" spans="1:8">
      <c r="A607" s="4"/>
      <c r="B607" s="4"/>
      <c r="C607" s="4"/>
      <c r="F607" s="4"/>
      <c r="G607" s="4"/>
      <c r="H607" s="4"/>
    </row>
    <row r="608" spans="1:8">
      <c r="A608" s="4"/>
      <c r="B608" s="4"/>
      <c r="C608" s="4"/>
      <c r="F608" s="4"/>
      <c r="G608" s="4"/>
      <c r="H608" s="4"/>
    </row>
    <row r="609" spans="1:8">
      <c r="A609" s="4"/>
      <c r="B609" s="4"/>
      <c r="C609" s="4"/>
      <c r="F609" s="4"/>
      <c r="G609" s="4"/>
      <c r="H609" s="4"/>
    </row>
    <row r="610" spans="1:8">
      <c r="A610" s="4"/>
      <c r="B610" s="4"/>
      <c r="C610" s="4"/>
      <c r="F610" s="4"/>
      <c r="G610" s="4"/>
      <c r="H610" s="4"/>
    </row>
    <row r="611" spans="1:8">
      <c r="A611" s="4"/>
      <c r="B611" s="4"/>
      <c r="C611" s="4"/>
      <c r="F611" s="4"/>
      <c r="G611" s="4"/>
      <c r="H611" s="4"/>
    </row>
    <row r="612" spans="1:8">
      <c r="A612" s="4"/>
      <c r="B612" s="4"/>
      <c r="C612" s="4"/>
      <c r="F612" s="4"/>
      <c r="G612" s="4"/>
      <c r="H612" s="4"/>
    </row>
    <row r="613" spans="1:8">
      <c r="A613" s="4"/>
      <c r="B613" s="4"/>
      <c r="C613" s="4"/>
      <c r="F613" s="4"/>
      <c r="G613" s="4"/>
      <c r="H613" s="4"/>
    </row>
    <row r="614" spans="1:8">
      <c r="A614" s="4"/>
      <c r="B614" s="4"/>
      <c r="C614" s="4"/>
      <c r="F614" s="4"/>
      <c r="G614" s="4"/>
      <c r="H614" s="4"/>
    </row>
    <row r="615" spans="1:8">
      <c r="A615" s="4"/>
      <c r="B615" s="4"/>
      <c r="C615" s="4"/>
      <c r="F615" s="4"/>
      <c r="G615" s="4"/>
      <c r="H615" s="4"/>
    </row>
    <row r="616" spans="1:8">
      <c r="A616" s="4"/>
      <c r="B616" s="4"/>
      <c r="C616" s="4"/>
      <c r="F616" s="4"/>
      <c r="G616" s="4"/>
      <c r="H616" s="4"/>
    </row>
    <row r="617" spans="1:8">
      <c r="A617" s="4"/>
      <c r="B617" s="4"/>
      <c r="C617" s="4"/>
      <c r="F617" s="4"/>
      <c r="G617" s="4"/>
      <c r="H617" s="4"/>
    </row>
    <row r="618" spans="1:8">
      <c r="A618" s="4"/>
      <c r="B618" s="4"/>
      <c r="C618" s="4"/>
      <c r="F618" s="4"/>
      <c r="G618" s="4"/>
      <c r="H618" s="4"/>
    </row>
    <row r="619" spans="1:8">
      <c r="A619" s="4"/>
      <c r="B619" s="4"/>
      <c r="C619" s="4"/>
      <c r="F619" s="4"/>
      <c r="G619" s="4"/>
      <c r="H619" s="4"/>
    </row>
    <row r="620" spans="1:8">
      <c r="A620" s="4"/>
      <c r="B620" s="4"/>
      <c r="C620" s="4"/>
      <c r="F620" s="4"/>
      <c r="G620" s="4"/>
      <c r="H620" s="4"/>
    </row>
    <row r="621" spans="1:8">
      <c r="A621" s="4"/>
      <c r="B621" s="4"/>
      <c r="C621" s="4"/>
      <c r="F621" s="4"/>
      <c r="G621" s="4"/>
      <c r="H621" s="4"/>
    </row>
    <row r="622" spans="1:8">
      <c r="A622" s="4"/>
      <c r="B622" s="4"/>
      <c r="C622" s="4"/>
      <c r="F622" s="4"/>
      <c r="G622" s="4"/>
      <c r="H622" s="4"/>
    </row>
    <row r="623" spans="1:8">
      <c r="A623" s="4"/>
      <c r="B623" s="4"/>
      <c r="C623" s="4"/>
      <c r="F623" s="4"/>
      <c r="G623" s="4"/>
      <c r="H623" s="4"/>
    </row>
    <row r="624" spans="1:8">
      <c r="A624" s="4"/>
      <c r="B624" s="4"/>
      <c r="C624" s="4"/>
      <c r="F624" s="4"/>
      <c r="G624" s="4"/>
      <c r="H624" s="4"/>
    </row>
    <row r="625" spans="1:8">
      <c r="A625" s="4"/>
      <c r="B625" s="4"/>
      <c r="C625" s="4"/>
      <c r="F625" s="4"/>
      <c r="G625" s="4"/>
      <c r="H625" s="4"/>
    </row>
    <row r="626" spans="1:8">
      <c r="A626" s="4"/>
      <c r="B626" s="4"/>
      <c r="C626" s="4"/>
      <c r="F626" s="4"/>
      <c r="G626" s="4"/>
      <c r="H626" s="4"/>
    </row>
    <row r="627" spans="1:8">
      <c r="A627" s="4"/>
      <c r="B627" s="4"/>
      <c r="C627" s="4"/>
      <c r="F627" s="4"/>
      <c r="G627" s="4"/>
      <c r="H627" s="4"/>
    </row>
    <row r="628" spans="1:8">
      <c r="A628" s="4"/>
      <c r="B628" s="4"/>
      <c r="C628" s="4"/>
      <c r="F628" s="4"/>
      <c r="G628" s="4"/>
      <c r="H628" s="4"/>
    </row>
    <row r="629" spans="1:8">
      <c r="A629" s="4"/>
      <c r="B629" s="4"/>
      <c r="C629" s="4"/>
      <c r="F629" s="4"/>
      <c r="G629" s="4"/>
      <c r="H629" s="4"/>
    </row>
    <row r="630" spans="1:8">
      <c r="A630" s="4"/>
      <c r="B630" s="4"/>
      <c r="C630" s="4"/>
      <c r="F630" s="4"/>
      <c r="G630" s="4"/>
      <c r="H630" s="4"/>
    </row>
    <row r="631" spans="1:8">
      <c r="A631" s="4"/>
      <c r="B631" s="4"/>
      <c r="C631" s="4"/>
      <c r="F631" s="4"/>
      <c r="G631" s="4"/>
      <c r="H631" s="4"/>
    </row>
    <row r="632" spans="1:8">
      <c r="A632" s="4"/>
      <c r="B632" s="4"/>
      <c r="C632" s="4"/>
      <c r="F632" s="4"/>
      <c r="G632" s="4"/>
      <c r="H632" s="4"/>
    </row>
    <row r="633" spans="1:8">
      <c r="A633" s="4"/>
      <c r="B633" s="4"/>
      <c r="C633" s="4"/>
      <c r="F633" s="4"/>
      <c r="G633" s="4"/>
      <c r="H633" s="4"/>
    </row>
    <row r="634" spans="1:8">
      <c r="A634" s="4"/>
      <c r="B634" s="4"/>
      <c r="C634" s="4"/>
      <c r="F634" s="4"/>
      <c r="G634" s="4"/>
      <c r="H634" s="4"/>
    </row>
    <row r="635" spans="1:8">
      <c r="A635" s="4"/>
      <c r="B635" s="4"/>
      <c r="C635" s="4"/>
      <c r="F635" s="4"/>
      <c r="G635" s="4"/>
      <c r="H635" s="4"/>
    </row>
    <row r="636" spans="1:8">
      <c r="A636" s="4"/>
      <c r="B636" s="4"/>
      <c r="C636" s="4"/>
      <c r="F636" s="4"/>
      <c r="G636" s="4"/>
      <c r="H636" s="4"/>
    </row>
    <row r="637" spans="1:8">
      <c r="A637" s="4"/>
      <c r="B637" s="4"/>
      <c r="C637" s="4"/>
      <c r="F637" s="4"/>
      <c r="G637" s="4"/>
      <c r="H637" s="4"/>
    </row>
    <row r="638" spans="1:8">
      <c r="A638" s="4"/>
      <c r="B638" s="4"/>
      <c r="C638" s="4"/>
      <c r="F638" s="4"/>
      <c r="G638" s="4"/>
      <c r="H638" s="4"/>
    </row>
    <row r="639" spans="1:8">
      <c r="A639" s="4"/>
      <c r="B639" s="4"/>
      <c r="C639" s="4"/>
      <c r="F639" s="4"/>
      <c r="G639" s="4"/>
      <c r="H639" s="4"/>
    </row>
    <row r="640" spans="1:8">
      <c r="A640" s="4"/>
      <c r="B640" s="4"/>
      <c r="C640" s="4"/>
      <c r="F640" s="4"/>
      <c r="G640" s="4"/>
      <c r="H640" s="4"/>
    </row>
    <row r="641" spans="1:8">
      <c r="A641" s="4"/>
      <c r="B641" s="4"/>
      <c r="C641" s="4"/>
      <c r="F641" s="4"/>
      <c r="G641" s="4"/>
      <c r="H641" s="4"/>
    </row>
    <row r="642" spans="1:8">
      <c r="A642" s="4"/>
      <c r="B642" s="4"/>
      <c r="C642" s="4"/>
      <c r="F642" s="4"/>
      <c r="G642" s="4"/>
      <c r="H642" s="4"/>
    </row>
    <row r="643" spans="1:8">
      <c r="A643" s="4"/>
      <c r="B643" s="4"/>
      <c r="C643" s="4"/>
      <c r="F643" s="4"/>
      <c r="G643" s="4"/>
      <c r="H643" s="4"/>
    </row>
    <row r="644" spans="1:8">
      <c r="A644" s="4"/>
      <c r="B644" s="4"/>
      <c r="C644" s="4"/>
      <c r="F644" s="4"/>
      <c r="G644" s="4"/>
      <c r="H644" s="4"/>
    </row>
    <row r="645" spans="1:8">
      <c r="A645" s="4"/>
      <c r="B645" s="4"/>
      <c r="C645" s="4"/>
      <c r="F645" s="4"/>
      <c r="G645" s="4"/>
      <c r="H645" s="4"/>
    </row>
    <row r="646" spans="1:8">
      <c r="A646" s="4"/>
      <c r="B646" s="4"/>
      <c r="C646" s="4"/>
      <c r="F646" s="4"/>
      <c r="G646" s="4"/>
      <c r="H646" s="4"/>
    </row>
    <row r="647" spans="1:8">
      <c r="A647" s="4"/>
      <c r="B647" s="4"/>
      <c r="C647" s="4"/>
      <c r="F647" s="4"/>
      <c r="G647" s="4"/>
      <c r="H647" s="4"/>
    </row>
    <row r="648" spans="1:8">
      <c r="A648" s="4"/>
      <c r="B648" s="4"/>
      <c r="C648" s="4"/>
      <c r="F648" s="4"/>
      <c r="G648" s="4"/>
      <c r="H648" s="4"/>
    </row>
    <row r="649" spans="1:8">
      <c r="A649" s="4"/>
      <c r="B649" s="4"/>
      <c r="C649" s="4"/>
      <c r="F649" s="4"/>
      <c r="G649" s="4"/>
      <c r="H649" s="4"/>
    </row>
    <row r="650" spans="1:8">
      <c r="A650" s="4"/>
      <c r="B650" s="4"/>
      <c r="C650" s="4"/>
      <c r="F650" s="4"/>
      <c r="G650" s="4"/>
      <c r="H650" s="4"/>
    </row>
    <row r="651" spans="1:8">
      <c r="A651" s="4"/>
      <c r="B651" s="4"/>
      <c r="C651" s="4"/>
      <c r="F651" s="4"/>
      <c r="G651" s="4"/>
      <c r="H651" s="4"/>
    </row>
    <row r="652" spans="1:8">
      <c r="A652" s="4"/>
      <c r="B652" s="4"/>
      <c r="C652" s="4"/>
      <c r="F652" s="4"/>
      <c r="G652" s="4"/>
      <c r="H652" s="4"/>
    </row>
    <row r="653" spans="1:8">
      <c r="A653" s="4"/>
      <c r="B653" s="4"/>
      <c r="C653" s="4"/>
      <c r="F653" s="4"/>
      <c r="G653" s="4"/>
      <c r="H653" s="4"/>
    </row>
    <row r="654" spans="1:8">
      <c r="A654" s="4"/>
      <c r="B654" s="4"/>
      <c r="C654" s="4"/>
      <c r="F654" s="4"/>
      <c r="G654" s="4"/>
      <c r="H654" s="4"/>
    </row>
    <row r="655" spans="1:8">
      <c r="A655" s="4"/>
      <c r="B655" s="4"/>
      <c r="C655" s="4"/>
      <c r="F655" s="4"/>
      <c r="G655" s="4"/>
      <c r="H655" s="4"/>
    </row>
    <row r="656" spans="1:8">
      <c r="A656" s="4"/>
      <c r="B656" s="4"/>
      <c r="C656" s="4"/>
      <c r="F656" s="4"/>
      <c r="G656" s="4"/>
      <c r="H656" s="4"/>
    </row>
    <row r="657" spans="1:8">
      <c r="A657" s="4"/>
      <c r="B657" s="4"/>
      <c r="C657" s="4"/>
      <c r="F657" s="4"/>
      <c r="G657" s="4"/>
      <c r="H657" s="4"/>
    </row>
    <row r="658" spans="1:8">
      <c r="A658" s="4"/>
      <c r="B658" s="4"/>
      <c r="C658" s="4"/>
      <c r="F658" s="4"/>
      <c r="G658" s="4"/>
      <c r="H658" s="4"/>
    </row>
    <row r="659" spans="1:8">
      <c r="A659" s="4"/>
      <c r="B659" s="4"/>
      <c r="C659" s="4"/>
      <c r="F659" s="4"/>
      <c r="G659" s="4"/>
      <c r="H659" s="4"/>
    </row>
    <row r="660" spans="1:8">
      <c r="A660" s="4"/>
      <c r="B660" s="4"/>
      <c r="C660" s="4"/>
      <c r="F660" s="4"/>
      <c r="G660" s="4"/>
      <c r="H660" s="4"/>
    </row>
    <row r="661" spans="1:8">
      <c r="A661" s="4"/>
      <c r="B661" s="4"/>
      <c r="C661" s="4"/>
      <c r="F661" s="4"/>
      <c r="G661" s="4"/>
      <c r="H661" s="4"/>
    </row>
    <row r="662" spans="1:8">
      <c r="A662" s="4"/>
      <c r="B662" s="4"/>
      <c r="C662" s="4"/>
      <c r="F662" s="4"/>
      <c r="G662" s="4"/>
      <c r="H662" s="4"/>
    </row>
    <row r="663" spans="1:8">
      <c r="A663" s="4"/>
      <c r="B663" s="4"/>
      <c r="C663" s="4"/>
      <c r="F663" s="4"/>
      <c r="G663" s="4"/>
      <c r="H663" s="4"/>
    </row>
    <row r="664" spans="1:8">
      <c r="A664" s="4"/>
      <c r="B664" s="4"/>
      <c r="C664" s="4"/>
      <c r="F664" s="4"/>
      <c r="G664" s="4"/>
      <c r="H664" s="4"/>
    </row>
    <row r="665" spans="1:8">
      <c r="A665" s="4"/>
      <c r="B665" s="4"/>
      <c r="C665" s="4"/>
      <c r="F665" s="4"/>
      <c r="G665" s="4"/>
      <c r="H665" s="4"/>
    </row>
    <row r="666" spans="1:8">
      <c r="A666" s="4"/>
      <c r="B666" s="4"/>
      <c r="C666" s="4"/>
      <c r="F666" s="4"/>
      <c r="G666" s="4"/>
      <c r="H666" s="4"/>
    </row>
    <row r="667" spans="1:8">
      <c r="A667" s="4"/>
      <c r="B667" s="4"/>
      <c r="C667" s="4"/>
      <c r="F667" s="4"/>
      <c r="G667" s="4"/>
      <c r="H667" s="4"/>
    </row>
    <row r="668" spans="1:8">
      <c r="A668" s="4"/>
      <c r="B668" s="4"/>
      <c r="C668" s="4"/>
      <c r="F668" s="4"/>
      <c r="G668" s="4"/>
      <c r="H668" s="4"/>
    </row>
    <row r="669" spans="1:8">
      <c r="A669" s="4"/>
      <c r="B669" s="4"/>
      <c r="C669" s="4"/>
      <c r="F669" s="4"/>
      <c r="G669" s="4"/>
      <c r="H669" s="4"/>
    </row>
    <row r="670" spans="1:8">
      <c r="A670" s="4"/>
      <c r="B670" s="4"/>
      <c r="C670" s="4"/>
      <c r="F670" s="4"/>
      <c r="G670" s="4"/>
      <c r="H670" s="4"/>
    </row>
    <row r="671" spans="1:8">
      <c r="A671" s="4"/>
      <c r="B671" s="4"/>
      <c r="C671" s="4"/>
      <c r="F671" s="4"/>
      <c r="G671" s="4"/>
      <c r="H671" s="4"/>
    </row>
    <row r="672" spans="1:8">
      <c r="A672" s="4"/>
      <c r="B672" s="4"/>
      <c r="C672" s="4"/>
      <c r="F672" s="4"/>
      <c r="G672" s="4"/>
      <c r="H672" s="4"/>
    </row>
    <row r="673" spans="1:8">
      <c r="A673" s="4"/>
      <c r="B673" s="4"/>
      <c r="C673" s="4"/>
      <c r="F673" s="4"/>
      <c r="G673" s="4"/>
      <c r="H673" s="4"/>
    </row>
    <row r="674" spans="1:8">
      <c r="A674" s="4"/>
      <c r="B674" s="4"/>
      <c r="C674" s="4"/>
      <c r="F674" s="4"/>
      <c r="G674" s="4"/>
      <c r="H674" s="4"/>
    </row>
    <row r="675" spans="1:8">
      <c r="A675" s="4"/>
      <c r="B675" s="4"/>
      <c r="C675" s="4"/>
      <c r="F675" s="4"/>
      <c r="G675" s="4"/>
      <c r="H675" s="4"/>
    </row>
    <row r="676" spans="1:8">
      <c r="A676" s="4"/>
      <c r="B676" s="4"/>
      <c r="C676" s="4"/>
      <c r="F676" s="4"/>
      <c r="G676" s="4"/>
      <c r="H676" s="4"/>
    </row>
    <row r="677" spans="1:8">
      <c r="A677" s="4"/>
      <c r="B677" s="4"/>
      <c r="C677" s="4"/>
      <c r="F677" s="4"/>
      <c r="G677" s="4"/>
      <c r="H677" s="4"/>
    </row>
    <row r="678" spans="1:8">
      <c r="A678" s="4"/>
      <c r="B678" s="4"/>
      <c r="C678" s="4"/>
      <c r="F678" s="4"/>
      <c r="G678" s="4"/>
      <c r="H678" s="4"/>
    </row>
    <row r="679" spans="1:8">
      <c r="A679" s="4"/>
      <c r="B679" s="4"/>
      <c r="C679" s="4"/>
      <c r="F679" s="4"/>
      <c r="G679" s="4"/>
      <c r="H679" s="4"/>
    </row>
    <row r="680" spans="1:8">
      <c r="A680" s="4"/>
      <c r="B680" s="4"/>
      <c r="C680" s="4"/>
      <c r="F680" s="4"/>
      <c r="G680" s="4"/>
      <c r="H680" s="4"/>
    </row>
    <row r="681" spans="1:8">
      <c r="A681" s="4"/>
      <c r="B681" s="4"/>
      <c r="C681" s="4"/>
      <c r="F681" s="4"/>
      <c r="G681" s="4"/>
      <c r="H681" s="4"/>
    </row>
    <row r="682" spans="1:8">
      <c r="A682" s="4"/>
      <c r="B682" s="4"/>
      <c r="C682" s="4"/>
      <c r="F682" s="4"/>
      <c r="G682" s="4"/>
      <c r="H682" s="4"/>
    </row>
    <row r="683" spans="1:8">
      <c r="A683" s="4"/>
      <c r="B683" s="4"/>
      <c r="C683" s="4"/>
      <c r="F683" s="4"/>
      <c r="G683" s="4"/>
      <c r="H683" s="4"/>
    </row>
    <row r="684" spans="1:8">
      <c r="A684" s="4"/>
      <c r="B684" s="4"/>
      <c r="C684" s="4"/>
      <c r="F684" s="4"/>
      <c r="G684" s="4"/>
      <c r="H684" s="4"/>
    </row>
    <row r="685" spans="1:8">
      <c r="A685" s="4"/>
      <c r="B685" s="4"/>
      <c r="C685" s="4"/>
      <c r="F685" s="4"/>
      <c r="G685" s="4"/>
      <c r="H685" s="4"/>
    </row>
    <row r="686" spans="1:8">
      <c r="A686" s="4"/>
      <c r="B686" s="4"/>
      <c r="C686" s="4"/>
      <c r="F686" s="4"/>
      <c r="G686" s="4"/>
      <c r="H686" s="4"/>
    </row>
    <row r="687" spans="1:8">
      <c r="A687" s="4"/>
      <c r="B687" s="4"/>
      <c r="C687" s="4"/>
      <c r="F687" s="4"/>
      <c r="G687" s="4"/>
      <c r="H687" s="4"/>
    </row>
    <row r="688" spans="1:8">
      <c r="A688" s="4"/>
      <c r="B688" s="4"/>
      <c r="C688" s="4"/>
      <c r="F688" s="4"/>
      <c r="G688" s="4"/>
      <c r="H688" s="4"/>
    </row>
    <row r="689" spans="1:8">
      <c r="A689" s="4"/>
      <c r="B689" s="4"/>
      <c r="C689" s="4"/>
      <c r="F689" s="4"/>
      <c r="G689" s="4"/>
      <c r="H689" s="4"/>
    </row>
    <row r="690" spans="1:8">
      <c r="A690" s="4"/>
      <c r="B690" s="4"/>
      <c r="C690" s="4"/>
      <c r="F690" s="4"/>
      <c r="G690" s="4"/>
      <c r="H690" s="4"/>
    </row>
    <row r="691" spans="1:8">
      <c r="A691" s="4"/>
      <c r="B691" s="4"/>
      <c r="C691" s="4"/>
      <c r="F691" s="4"/>
      <c r="G691" s="4"/>
      <c r="H691" s="4"/>
    </row>
    <row r="692" spans="1:8">
      <c r="A692" s="4"/>
      <c r="B692" s="4"/>
      <c r="C692" s="4"/>
      <c r="F692" s="4"/>
      <c r="G692" s="4"/>
      <c r="H692" s="4"/>
    </row>
    <row r="693" spans="1:8">
      <c r="A693" s="4"/>
      <c r="B693" s="4"/>
      <c r="C693" s="4"/>
      <c r="F693" s="4"/>
      <c r="G693" s="4"/>
      <c r="H693" s="4"/>
    </row>
    <row r="694" spans="1:8">
      <c r="A694" s="4"/>
      <c r="B694" s="4"/>
      <c r="C694" s="4"/>
      <c r="F694" s="4"/>
      <c r="G694" s="4"/>
      <c r="H694" s="4"/>
    </row>
    <row r="695" spans="1:8">
      <c r="A695" s="4"/>
      <c r="B695" s="4"/>
      <c r="C695" s="4"/>
      <c r="F695" s="4"/>
      <c r="G695" s="4"/>
      <c r="H695" s="4"/>
    </row>
    <row r="696" spans="1:8">
      <c r="A696" s="4"/>
      <c r="B696" s="4"/>
      <c r="C696" s="4"/>
      <c r="F696" s="4"/>
      <c r="G696" s="4"/>
      <c r="H696" s="4"/>
    </row>
    <row r="697" spans="1:8">
      <c r="A697" s="4"/>
      <c r="B697" s="4"/>
      <c r="C697" s="4"/>
      <c r="F697" s="4"/>
      <c r="G697" s="4"/>
      <c r="H697" s="4"/>
    </row>
    <row r="698" spans="1:8">
      <c r="A698" s="4"/>
      <c r="B698" s="4"/>
      <c r="C698" s="4"/>
      <c r="F698" s="4"/>
      <c r="G698" s="4"/>
      <c r="H698" s="4"/>
    </row>
    <row r="699" spans="1:8">
      <c r="A699" s="4"/>
      <c r="B699" s="4"/>
      <c r="C699" s="4"/>
      <c r="F699" s="4"/>
      <c r="G699" s="4"/>
      <c r="H699" s="4"/>
    </row>
    <row r="700" spans="1:8">
      <c r="A700" s="4"/>
      <c r="B700" s="4"/>
      <c r="C700" s="4"/>
      <c r="F700" s="4"/>
      <c r="G700" s="4"/>
      <c r="H700" s="4"/>
    </row>
    <row r="701" spans="1:8">
      <c r="A701" s="4"/>
      <c r="B701" s="4"/>
      <c r="C701" s="4"/>
      <c r="F701" s="4"/>
      <c r="G701" s="4"/>
      <c r="H701" s="4"/>
    </row>
    <row r="702" spans="1:8">
      <c r="A702" s="4"/>
      <c r="B702" s="4"/>
      <c r="C702" s="4"/>
      <c r="F702" s="4"/>
      <c r="G702" s="4"/>
      <c r="H702" s="4"/>
    </row>
    <row r="703" spans="1:8">
      <c r="A703" s="4"/>
      <c r="B703" s="4"/>
      <c r="C703" s="4"/>
      <c r="F703" s="4"/>
      <c r="G703" s="4"/>
      <c r="H703" s="4"/>
    </row>
    <row r="704" spans="1:8">
      <c r="A704" s="4"/>
      <c r="B704" s="4"/>
      <c r="C704" s="4"/>
      <c r="F704" s="4"/>
      <c r="G704" s="4"/>
      <c r="H704" s="4"/>
    </row>
    <row r="705" spans="1:8">
      <c r="A705" s="4"/>
      <c r="B705" s="4"/>
      <c r="C705" s="4"/>
      <c r="F705" s="4"/>
      <c r="G705" s="4"/>
      <c r="H705" s="4"/>
    </row>
    <row r="706" spans="1:8">
      <c r="A706" s="4"/>
      <c r="B706" s="4"/>
      <c r="C706" s="4"/>
      <c r="F706" s="4"/>
      <c r="G706" s="4"/>
      <c r="H706" s="4"/>
    </row>
    <row r="707" spans="1:8">
      <c r="A707" s="4"/>
      <c r="B707" s="4"/>
      <c r="C707" s="4"/>
      <c r="F707" s="4"/>
      <c r="G707" s="4"/>
      <c r="H707" s="4"/>
    </row>
    <row r="708" spans="1:8">
      <c r="A708" s="4"/>
      <c r="B708" s="4"/>
      <c r="C708" s="4"/>
      <c r="F708" s="4"/>
      <c r="G708" s="4"/>
      <c r="H708" s="4"/>
    </row>
    <row r="709" spans="1:8">
      <c r="A709" s="4"/>
      <c r="B709" s="4"/>
      <c r="C709" s="4"/>
      <c r="F709" s="4"/>
      <c r="G709" s="4"/>
      <c r="H709" s="4"/>
    </row>
    <row r="710" spans="1:8">
      <c r="A710" s="4"/>
      <c r="B710" s="4"/>
      <c r="C710" s="4"/>
      <c r="F710" s="4"/>
      <c r="G710" s="4"/>
      <c r="H710" s="4"/>
    </row>
    <row r="711" spans="1:8">
      <c r="A711" s="4"/>
      <c r="B711" s="4"/>
      <c r="C711" s="4"/>
    </row>
    <row r="712" spans="1:8">
      <c r="A712" s="4"/>
      <c r="B712" s="4"/>
      <c r="C712" s="4"/>
    </row>
    <row r="713" spans="1:8">
      <c r="A713" s="4"/>
      <c r="B713" s="4"/>
      <c r="C713" s="4"/>
    </row>
    <row r="714" spans="1:8">
      <c r="A714" s="4"/>
      <c r="B714" s="4"/>
      <c r="C714" s="4"/>
    </row>
    <row r="715" spans="1:8">
      <c r="A715" s="4"/>
      <c r="B715" s="4"/>
      <c r="C715" s="4"/>
    </row>
    <row r="716" spans="1:8">
      <c r="A716" s="4"/>
      <c r="B716" s="4"/>
      <c r="C716" s="4"/>
    </row>
  </sheetData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Курс</vt:lpstr>
      <vt:lpstr>Задание 1</vt:lpstr>
      <vt:lpstr>Задание 2</vt:lpstr>
      <vt:lpstr>Задание 3</vt:lpstr>
      <vt:lpstr>Задание 4</vt:lpstr>
      <vt:lpstr>Задание 5</vt:lpstr>
      <vt:lpstr>Задание 6</vt:lpstr>
      <vt:lpstr>Задание 7</vt:lpstr>
      <vt:lpstr>Задание 8</vt:lpstr>
      <vt:lpstr>Задание 9</vt:lpstr>
      <vt:lpstr>Задание 10</vt:lpstr>
      <vt:lpstr>Задание 11</vt:lpstr>
      <vt:lpstr>Задание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MyWindowsUser</cp:lastModifiedBy>
  <dcterms:created xsi:type="dcterms:W3CDTF">2020-02-18T09:33:49Z</dcterms:created>
  <dcterms:modified xsi:type="dcterms:W3CDTF">2026-04-26T16:50:13Z</dcterms:modified>
</cp:coreProperties>
</file>